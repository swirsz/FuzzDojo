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misc\GitHub\FuzzDojo\analysis\paper tables and figures\"/>
    </mc:Choice>
  </mc:AlternateContent>
  <bookViews>
    <workbookView xWindow="-110" yWindow="-110" windowWidth="23260" windowHeight="12460" tabRatio="500" activeTab="1"/>
  </bookViews>
  <sheets>
    <sheet name="Survey-data" sheetId="9" r:id="rId1"/>
    <sheet name="Survey-chart" sheetId="13" r:id="rId2"/>
  </sheets>
  <calcPr calcId="152511"/>
</workbook>
</file>

<file path=xl/calcChain.xml><?xml version="1.0" encoding="utf-8"?>
<calcChain xmlns="http://schemas.openxmlformats.org/spreadsheetml/2006/main">
  <c r="I15" i="13" l="1"/>
  <c r="J15" i="13"/>
  <c r="I9" i="13"/>
  <c r="J9" i="13"/>
  <c r="I10" i="13"/>
  <c r="J10" i="13"/>
  <c r="I8" i="13"/>
  <c r="J8" i="13"/>
  <c r="I13" i="13"/>
  <c r="J13" i="13"/>
  <c r="T60" i="9" l="1"/>
  <c r="T58" i="9"/>
  <c r="T51" i="9"/>
  <c r="T53" i="9"/>
  <c r="T54" i="9"/>
  <c r="T57" i="9"/>
  <c r="T59" i="9"/>
  <c r="T56" i="9"/>
  <c r="T52" i="9"/>
  <c r="T49" i="9"/>
  <c r="T50" i="9"/>
  <c r="T47" i="9"/>
  <c r="T55" i="9"/>
  <c r="T46" i="9"/>
  <c r="T48" i="9"/>
  <c r="J4" i="13" l="1"/>
  <c r="I4" i="13"/>
  <c r="J5" i="13"/>
  <c r="I5" i="13"/>
  <c r="J14" i="13"/>
  <c r="I14" i="13"/>
  <c r="J6" i="13"/>
  <c r="I6" i="13"/>
  <c r="J11" i="13"/>
  <c r="I11" i="13"/>
  <c r="J3" i="13"/>
  <c r="I3" i="13"/>
  <c r="J16" i="13"/>
  <c r="I16" i="13"/>
  <c r="J12" i="13"/>
  <c r="I12" i="13"/>
  <c r="J7" i="13"/>
  <c r="I7" i="13"/>
  <c r="J2" i="13"/>
  <c r="I2" i="13"/>
  <c r="P34" i="9"/>
  <c r="O34" i="9"/>
  <c r="N34" i="9"/>
  <c r="M34" i="9"/>
  <c r="L34" i="9"/>
  <c r="K34" i="9"/>
  <c r="J34" i="9"/>
  <c r="I34" i="9"/>
  <c r="H34" i="9"/>
  <c r="G34" i="9"/>
  <c r="F34" i="9"/>
  <c r="E34" i="9"/>
  <c r="D34" i="9"/>
  <c r="C34" i="9"/>
  <c r="P33" i="9"/>
  <c r="O33" i="9"/>
  <c r="N33" i="9"/>
  <c r="M33" i="9"/>
  <c r="L33" i="9"/>
  <c r="K33" i="9"/>
  <c r="J33" i="9"/>
  <c r="I33" i="9"/>
  <c r="H33" i="9"/>
  <c r="G33" i="9"/>
  <c r="F33" i="9"/>
  <c r="E33" i="9"/>
  <c r="D33" i="9"/>
  <c r="C33" i="9"/>
  <c r="P32" i="9"/>
  <c r="O32" i="9"/>
  <c r="N32" i="9"/>
  <c r="M32" i="9"/>
  <c r="L32" i="9"/>
  <c r="K32" i="9"/>
  <c r="J32" i="9"/>
  <c r="I32" i="9"/>
  <c r="H32" i="9"/>
  <c r="G32" i="9"/>
  <c r="F32" i="9"/>
  <c r="E32" i="9"/>
  <c r="D32" i="9"/>
  <c r="C32" i="9"/>
  <c r="P31" i="9"/>
  <c r="O31" i="9"/>
  <c r="N31" i="9"/>
  <c r="M31" i="9"/>
  <c r="L31" i="9"/>
  <c r="K31" i="9"/>
  <c r="J31" i="9"/>
  <c r="I31" i="9"/>
  <c r="H31" i="9"/>
  <c r="G31" i="9"/>
  <c r="F31" i="9"/>
  <c r="E31" i="9"/>
  <c r="D31" i="9"/>
  <c r="C31" i="9"/>
  <c r="P30" i="9"/>
  <c r="O30" i="9"/>
  <c r="N30" i="9"/>
  <c r="M30" i="9"/>
  <c r="L30" i="9"/>
  <c r="K30" i="9"/>
  <c r="J30" i="9"/>
  <c r="I30" i="9"/>
  <c r="H30" i="9"/>
  <c r="G30" i="9"/>
  <c r="F30" i="9"/>
  <c r="E30" i="9"/>
  <c r="D30" i="9"/>
  <c r="C30" i="9"/>
  <c r="P29" i="9"/>
  <c r="O29" i="9"/>
  <c r="N29" i="9"/>
  <c r="M29" i="9"/>
  <c r="L29" i="9"/>
  <c r="K29" i="9"/>
  <c r="J29" i="9"/>
  <c r="I29" i="9"/>
  <c r="H29" i="9"/>
  <c r="G29" i="9"/>
  <c r="F29" i="9"/>
  <c r="E29" i="9"/>
  <c r="D29" i="9"/>
  <c r="C29" i="9"/>
  <c r="B34" i="9"/>
  <c r="B33" i="9"/>
  <c r="B32" i="9"/>
  <c r="B31" i="9"/>
  <c r="B30" i="9"/>
  <c r="B29" i="9"/>
  <c r="A7" i="9"/>
  <c r="A8" i="9" s="1"/>
  <c r="A9" i="9" s="1"/>
  <c r="A10" i="9" s="1"/>
  <c r="A11" i="9" s="1"/>
  <c r="A12" i="9" s="1"/>
  <c r="A13" i="9" s="1"/>
  <c r="A14" i="9" s="1"/>
  <c r="A15" i="9" s="1"/>
  <c r="A16" i="9" s="1"/>
  <c r="A17" i="9" l="1"/>
  <c r="A18" i="9" s="1"/>
  <c r="A19" i="9" s="1"/>
  <c r="A20" i="9" s="1"/>
  <c r="A21" i="9" s="1"/>
  <c r="A22" i="9" s="1"/>
  <c r="A23" i="9" s="1"/>
  <c r="A24" i="9" s="1"/>
  <c r="A25" i="9" s="1"/>
</calcChain>
</file>

<file path=xl/sharedStrings.xml><?xml version="1.0" encoding="utf-8"?>
<sst xmlns="http://schemas.openxmlformats.org/spreadsheetml/2006/main" count="428" uniqueCount="118">
  <si>
    <t>1=Always</t>
  </si>
  <si>
    <t>2-Often</t>
  </si>
  <si>
    <t>3-Someti</t>
  </si>
  <si>
    <t>4-Rarely</t>
  </si>
  <si>
    <t>5-Never</t>
  </si>
  <si>
    <t>Different fuzzing environments lead to unstable/unreliable results. When these machines have different environments, the consistency of the fuzzing output can be affected or disrupted. Examples: different Python versions and different Linux builds. (F1)</t>
  </si>
  <si>
    <t>Incompatibility between the fuzzing environment and the project leads to build failures. Compiler updates and versioning, specifically, can break fuzzing builds and require complex manual intervention from the developers to fix the problem. (F2)</t>
  </si>
  <si>
    <t>Bad fuzz drivers lead to fuzzing failure or inconsistent results. (F6)</t>
  </si>
  <si>
    <t>Issues with fuzzing test code lead to crashes/build failures. (F7)</t>
  </si>
  <si>
    <t>Bugs in the fuzzer lead to build failures or abnormal / inconsistent fuzzing behaviors. This includes fuzzers not being able to detect known positive cases, generating false positives, reporting the wrong type of failure, or simply crashing. (F8)</t>
  </si>
  <si>
    <t>Incorrect use of the corpus leads to fuzzing failures or low coverage. (F9)</t>
  </si>
  <si>
    <t>Issues with the build tools or external dependencies lead to crash/build failures. For example, docker images have grown too big over time. (F10)</t>
  </si>
  <si>
    <t>Issues in the corpus (such as unreadable or bad data) lead to build failures or unreliable results. (F11)</t>
  </si>
  <si>
    <t>Developers have difficulties generating the correct inputs or targeting specific parts of the software. For example, a fuzz driver achieving only shallow coverage or being unable to pass strict pre-condition checks. (F15)</t>
  </si>
  <si>
    <t>Developers have difficulties in setting up, building, or using the fuzzer. This includes breaking the build, not fuzzing the right fuzz target, causing the fuzzer to use too much memory, and many other issues. (F16)</t>
  </si>
  <si>
    <t>Documentation on how to use the fuzzer is missing/ insufficient. For example, finding information on how to utilize optional features of a fuzzing tool. (F17)</t>
  </si>
  <si>
    <t>Messages/information generated by fuzzers is missing / confusing/unhelpful. For example, crushing outputs are found but not reported. (F18)</t>
  </si>
  <si>
    <t>Bad code design limits the ability to fuzz. This includes insufficient segmentation/separation of the target code, monolithic design, and assumptions about intended behavior, often requiring tests be done on the full system. (F20)</t>
  </si>
  <si>
    <t>Developers have difficulties writing/understanding and debugging fuzzing code. (F21)</t>
  </si>
  <si>
    <t>Developers have difficulty deciding which parts of the software to fuzz. (F22)</t>
  </si>
  <si>
    <t>USER</t>
  </si>
  <si>
    <t>UNSTABLE RESULTS</t>
  </si>
  <si>
    <t>INCOMPATIBLE ENVIRONMENTS</t>
  </si>
  <si>
    <t>BAD FUZZ DRIVERS</t>
  </si>
  <si>
    <t>CRASHES/BUILD FAILURES</t>
  </si>
  <si>
    <t>BUGS IN FUZZER</t>
  </si>
  <si>
    <t>INCORRECT USE OF CORPUS</t>
  </si>
  <si>
    <t>ISSUES WITH BUILD TOOLS</t>
  </si>
  <si>
    <t>BAD DATA IN CORPUS</t>
  </si>
  <si>
    <t>POOR INPUTS</t>
  </si>
  <si>
    <t>INCORRECT USE OF FUZZER</t>
  </si>
  <si>
    <t>LACK OF USE INSRUCTIONS</t>
  </si>
  <si>
    <t>MISSINGINFORMTION</t>
  </si>
  <si>
    <t>BAD CODE</t>
  </si>
  <si>
    <t>POOR DEBUGGING</t>
  </si>
  <si>
    <t>POOR SELECTION OF FUZZING TARGET</t>
  </si>
  <si>
    <r>
      <t xml:space="preserve">COUNTS </t>
    </r>
    <r>
      <rPr>
        <sz val="10"/>
        <rFont val="Wingdings"/>
        <charset val="2"/>
      </rPr>
      <t>é</t>
    </r>
  </si>
  <si>
    <r>
      <t>VALUES</t>
    </r>
    <r>
      <rPr>
        <sz val="10"/>
        <rFont val="Wingdings"/>
        <charset val="2"/>
      </rPr>
      <t>ê</t>
    </r>
  </si>
  <si>
    <t>Never</t>
  </si>
  <si>
    <t>Rarely</t>
  </si>
  <si>
    <t>Sometimes</t>
  </si>
  <si>
    <t>Often</t>
  </si>
  <si>
    <t>Always</t>
  </si>
  <si>
    <t>INCOMPATIBLE  ENVIRONMENT CAUSING BUILD FAILURES (F2)</t>
  </si>
  <si>
    <t>EXTERNAL DEPENDENCIES LIKE DOCKER CAUSE FAILURES (F10)</t>
  </si>
  <si>
    <t>DIFFERENT ENVIRONMENTS CREATE UNSTABLE RESULTS (F1)</t>
  </si>
  <si>
    <t>BAD DATA IN CORPUS CREATE UNRELIABILITIES OR FAILURES (F11)</t>
  </si>
  <si>
    <t>BUGS IN FUZZER CREATE FALSE CRASHES (F8)</t>
  </si>
  <si>
    <t>FUZZ MESSAGES ARE MISSING OR CONFUSING (F18)</t>
  </si>
  <si>
    <t>DIFFICULTY SETTING UP/USING/BUILDING THE FUZZER (F16)</t>
  </si>
  <si>
    <t>BAD ARCHITECTURE MAKES FUZZING DIFFICULT (F20)</t>
  </si>
  <si>
    <t>INCORRECT USE OF CORPUS CAUSES LOW COVERAGE (F9)</t>
  </si>
  <si>
    <t>BAD TEST CODE LEADS TO CRASHES/BUILD FAILURES (F7)</t>
  </si>
  <si>
    <t>FUZZ DRIVERS BUILD BUT FAIL TO MAKE PROGRESS (F6)</t>
  </si>
  <si>
    <t>DIFFICULTY DEBUGGING FUZZ DRIVER CODE (F21)</t>
  </si>
  <si>
    <t>DOCUMENTATION MISSING/INSUFFICIENT (F17)</t>
  </si>
  <si>
    <t>Address by fuzz dojo</t>
  </si>
  <si>
    <t>Controlled by study</t>
  </si>
  <si>
    <t>DIFFICULTY FUZZING DESIRED CODE DUE TO BLOCKAGES (F15)</t>
  </si>
  <si>
    <t>DIFFICULTY DECIDING FUNCTIONS TO FUZZ (F22)</t>
  </si>
  <si>
    <t>ID</t>
  </si>
  <si>
    <t>Always+Often+sometimes</t>
  </si>
  <si>
    <t>5 - Never</t>
  </si>
  <si>
    <t>4 - Rarely</t>
  </si>
  <si>
    <t>3 - Sometimes</t>
  </si>
  <si>
    <t>2 - Often</t>
  </si>
  <si>
    <t>1 - Always</t>
  </si>
  <si>
    <t>I don't know</t>
  </si>
  <si>
    <t>Drivers build but failed to make progress</t>
  </si>
  <si>
    <t>Set up and configuration complexity</t>
  </si>
  <si>
    <t>Difficulty debugging fuzz drivers</t>
  </si>
  <si>
    <t>Difficulty deciding what to fuzz</t>
  </si>
  <si>
    <t>Difficulty fuzzing desired code due to blockages</t>
  </si>
  <si>
    <t>Incorrect corpus usage causes low or unstable coverage</t>
  </si>
  <si>
    <t>Missing or insufficient documentation</t>
  </si>
  <si>
    <t>External dependencies causing failures</t>
  </si>
  <si>
    <t>Fuzzing bugs create false crashes</t>
  </si>
  <si>
    <t>Environmental inconsistency</t>
  </si>
  <si>
    <t>Bad corpus data creates unreliable runs</t>
  </si>
  <si>
    <t>F15</t>
  </si>
  <si>
    <t>Bad driver code leads to crashes</t>
  </si>
  <si>
    <t>Description</t>
  </si>
  <si>
    <t>Study Rank</t>
  </si>
  <si>
    <t>Nourrey Rank</t>
  </si>
  <si>
    <t>Rank Change</t>
  </si>
  <si>
    <t>F16</t>
  </si>
  <si>
    <t>F2</t>
  </si>
  <si>
    <t>F20</t>
  </si>
  <si>
    <t>F9</t>
  </si>
  <si>
    <t>F1</t>
  </si>
  <si>
    <t>F22</t>
  </si>
  <si>
    <t>F6</t>
  </si>
  <si>
    <t>F17</t>
  </si>
  <si>
    <t>F10</t>
  </si>
  <si>
    <t>F18</t>
  </si>
  <si>
    <t>F21</t>
  </si>
  <si>
    <t>F7</t>
  </si>
  <si>
    <t>F8</t>
  </si>
  <si>
    <t>F11</t>
  </si>
  <si>
    <t>Fuzz messages are missing or confusing</t>
  </si>
  <si>
    <t>Bad architecture makes fuzzing difficult</t>
  </si>
  <si>
    <t>Incompatible environment causing build failures</t>
  </si>
  <si>
    <t>DIFFICULTIES GENERATING THE CORRECT INPUTS… (F15)</t>
  </si>
  <si>
    <t>BAD CODE DESIGN… (F20)</t>
  </si>
  <si>
    <t>DIFFICULTIES IN DECIDING…SOFTWARE TO FUZZ (F22)</t>
  </si>
  <si>
    <t>DIFFICULTIES WRITING…FUZZING CODE (F21)</t>
  </si>
  <si>
    <t>INCORRECT USE OF CORPUS… (F9)</t>
  </si>
  <si>
    <t>DOCUMENTATION… (F17)</t>
  </si>
  <si>
    <t>BAD FUZZING TARGETS… (F6)</t>
  </si>
  <si>
    <t>DIFFICULTIES IN SETTING UP… (F16)</t>
  </si>
  <si>
    <t>INCOMPATIBILITY…FUZZING ENVIRONMENT… (F2)</t>
  </si>
  <si>
    <t>ISSUES WITH THE FUZZING CODE… (F7)</t>
  </si>
  <si>
    <t>ISSUES WITH THE BUILD TOOLS… (F10)</t>
  </si>
  <si>
    <t>OUTPUT MESSAGES ARE MISSING OR CONFUSING (F18)</t>
  </si>
  <si>
    <t>BUGS IN THE FUZZER CREATE FALSE CRASHES (F8)</t>
  </si>
  <si>
    <t>DIFFERENT FUZZING ENVIRONMENTS… (F1)</t>
  </si>
  <si>
    <t>ISSUES IN THE CORPUS… (F11)</t>
  </si>
  <si>
    <t>Always+Often</t>
  </si>
</sst>
</file>

<file path=xl/styles.xml><?xml version="1.0" encoding="utf-8"?>
<styleSheet xmlns="http://schemas.openxmlformats.org/spreadsheetml/2006/main" xmlns:mc="http://schemas.openxmlformats.org/markup-compatibility/2006" xmlns:x14ac="http://schemas.microsoft.com/office/spreadsheetml/2009/9/ac" mc:Ignorable="x14ac">
  <fonts count="10">
    <font>
      <sz val="10"/>
      <name val="Arial"/>
      <family val="2"/>
    </font>
    <font>
      <sz val="11"/>
      <color theme="1"/>
      <name val="Calibri"/>
      <family val="2"/>
      <scheme val="minor"/>
    </font>
    <font>
      <sz val="10"/>
      <name val="Arial"/>
      <family val="2"/>
    </font>
    <font>
      <sz val="10"/>
      <color rgb="FFFFFFFF"/>
      <name val="Roboto"/>
    </font>
    <font>
      <sz val="10"/>
      <color rgb="FF434343"/>
      <name val="Roboto"/>
    </font>
    <font>
      <sz val="10"/>
      <name val="Wingdings"/>
      <charset val="2"/>
    </font>
    <font>
      <sz val="10"/>
      <color rgb="FF000000"/>
      <name val="Arial"/>
      <family val="2"/>
    </font>
    <font>
      <sz val="11"/>
      <color rgb="FF006100"/>
      <name val="Calibri"/>
      <family val="2"/>
      <scheme val="minor"/>
    </font>
    <font>
      <sz val="11"/>
      <color rgb="FF9C0006"/>
      <name val="Calibri"/>
      <family val="2"/>
      <scheme val="minor"/>
    </font>
    <font>
      <sz val="11"/>
      <color rgb="FF9C6500"/>
      <name val="Calibri"/>
      <family val="2"/>
      <scheme val="minor"/>
    </font>
  </fonts>
  <fills count="10">
    <fill>
      <patternFill patternType="none"/>
    </fill>
    <fill>
      <patternFill patternType="gray125"/>
    </fill>
    <fill>
      <patternFill patternType="solid">
        <fgColor rgb="FF5B3F86"/>
        <bgColor indexed="64"/>
      </patternFill>
    </fill>
    <fill>
      <patternFill patternType="solid">
        <fgColor rgb="FFFFFFFF"/>
        <bgColor indexed="64"/>
      </patternFill>
    </fill>
    <fill>
      <patternFill patternType="solid">
        <fgColor rgb="FFF8F9FA"/>
        <bgColor indexed="64"/>
      </patternFill>
    </fill>
    <fill>
      <patternFill patternType="solid">
        <fgColor theme="5"/>
        <bgColor indexed="64"/>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5B3F86"/>
      </left>
      <right style="medium">
        <color rgb="FF5B3F86"/>
      </right>
      <top style="medium">
        <color rgb="FF442F65"/>
      </top>
      <bottom style="medium">
        <color rgb="FF442F65"/>
      </bottom>
      <diagonal/>
    </border>
    <border>
      <left style="medium">
        <color rgb="FFCCCCCC"/>
      </left>
      <right style="medium">
        <color rgb="FF5B3F86"/>
      </right>
      <top style="medium">
        <color rgb="FF442F65"/>
      </top>
      <bottom style="medium">
        <color rgb="FF442F65"/>
      </bottom>
      <diagonal/>
    </border>
    <border>
      <left style="medium">
        <color rgb="FFFFFFFF"/>
      </left>
      <right style="medium">
        <color rgb="FFFFFFFF"/>
      </right>
      <top style="medium">
        <color rgb="FFCCCCCC"/>
      </top>
      <bottom style="medium">
        <color rgb="FFF8F9FA"/>
      </bottom>
      <diagonal/>
    </border>
    <border>
      <left style="medium">
        <color rgb="FFF8F9FA"/>
      </left>
      <right style="medium">
        <color rgb="FFF8F9FA"/>
      </right>
      <top style="medium">
        <color rgb="FFCCCCCC"/>
      </top>
      <bottom style="medium">
        <color rgb="FFF8F9FA"/>
      </bottom>
      <diagonal/>
    </border>
    <border>
      <left style="medium">
        <color rgb="FFCCCCCC"/>
      </left>
      <right/>
      <top/>
      <bottom/>
      <diagonal/>
    </border>
    <border>
      <left/>
      <right style="medium">
        <color rgb="FFFFFFFF"/>
      </right>
      <top/>
      <bottom/>
      <diagonal/>
    </border>
    <border>
      <left style="thin">
        <color indexed="64"/>
      </left>
      <right style="thin">
        <color indexed="64"/>
      </right>
      <top/>
      <bottom/>
      <diagonal/>
    </border>
  </borders>
  <cellStyleXfs count="6">
    <xf numFmtId="0" fontId="0" fillId="0" borderId="0"/>
    <xf numFmtId="9" fontId="2" fillId="0" borderId="0" applyFont="0" applyFill="0" applyBorder="0" applyAlignment="0" applyProtection="0"/>
    <xf numFmtId="0" fontId="7" fillId="7" borderId="0" applyNumberFormat="0" applyBorder="0" applyAlignment="0" applyProtection="0"/>
    <xf numFmtId="0" fontId="8" fillId="8" borderId="0" applyNumberFormat="0" applyBorder="0" applyAlignment="0" applyProtection="0"/>
    <xf numFmtId="0" fontId="9" fillId="9" borderId="0" applyNumberFormat="0" applyBorder="0" applyAlignment="0" applyProtection="0"/>
    <xf numFmtId="0" fontId="1" fillId="0" borderId="0"/>
  </cellStyleXfs>
  <cellXfs count="37">
    <xf numFmtId="0" fontId="0" fillId="0" borderId="0" xfId="0"/>
    <xf numFmtId="0" fontId="0" fillId="0" borderId="0" xfId="0" applyAlignment="1">
      <alignment horizontal="center"/>
    </xf>
    <xf numFmtId="0" fontId="3" fillId="2" borderId="3" xfId="0" applyFont="1" applyFill="1" applyBorder="1" applyAlignment="1">
      <alignment vertical="center" wrapText="1"/>
    </xf>
    <xf numFmtId="0" fontId="4" fillId="3" borderId="4" xfId="0" applyFont="1" applyFill="1" applyBorder="1" applyAlignment="1">
      <alignment horizontal="right" vertical="center" wrapText="1"/>
    </xf>
    <xf numFmtId="0" fontId="4" fillId="4" borderId="5" xfId="0" applyFont="1" applyFill="1" applyBorder="1" applyAlignment="1">
      <alignment horizontal="right" vertical="center" wrapText="1"/>
    </xf>
    <xf numFmtId="0" fontId="3" fillId="2" borderId="6" xfId="0" applyFont="1" applyFill="1" applyBorder="1" applyAlignment="1">
      <alignment vertical="center" wrapText="1"/>
    </xf>
    <xf numFmtId="0" fontId="3" fillId="2" borderId="0" xfId="0" applyFont="1" applyFill="1" applyAlignment="1">
      <alignment horizontal="right" vertical="center" wrapText="1"/>
    </xf>
    <xf numFmtId="0" fontId="0" fillId="0" borderId="0" xfId="0" applyAlignment="1">
      <alignment horizontal="right"/>
    </xf>
    <xf numFmtId="0" fontId="3" fillId="2" borderId="2"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4" fillId="3" borderId="0" xfId="0" applyFont="1" applyFill="1" applyAlignment="1">
      <alignment horizontal="right" vertical="center" wrapText="1"/>
    </xf>
    <xf numFmtId="0" fontId="0" fillId="0" borderId="0" xfId="1" applyNumberFormat="1" applyFont="1" applyAlignment="1">
      <alignment horizontal="center"/>
    </xf>
    <xf numFmtId="0" fontId="0" fillId="5" borderId="1" xfId="0" applyFill="1" applyBorder="1"/>
    <xf numFmtId="0" fontId="3" fillId="6" borderId="1" xfId="0" applyFont="1" applyFill="1" applyBorder="1" applyAlignment="1">
      <alignment vertical="center" wrapText="1"/>
    </xf>
    <xf numFmtId="0" fontId="6" fillId="0" borderId="0" xfId="0" applyFont="1"/>
    <xf numFmtId="0" fontId="0" fillId="5" borderId="8" xfId="0" applyFill="1" applyBorder="1"/>
    <xf numFmtId="0" fontId="4" fillId="3" borderId="0" xfId="0" applyFont="1" applyFill="1" applyAlignment="1">
      <alignment vertical="center" wrapText="1"/>
    </xf>
    <xf numFmtId="0" fontId="6" fillId="5" borderId="1" xfId="0" applyFont="1" applyFill="1" applyBorder="1"/>
    <xf numFmtId="0" fontId="0" fillId="0" borderId="0" xfId="0" applyAlignment="1">
      <alignment horizontal="left"/>
    </xf>
    <xf numFmtId="0" fontId="7" fillId="0" borderId="0" xfId="2" applyFill="1" applyAlignment="1">
      <alignment horizontal="center"/>
    </xf>
    <xf numFmtId="0" fontId="0" fillId="0" borderId="0" xfId="0" applyFill="1" applyAlignment="1">
      <alignment horizontal="center"/>
    </xf>
    <xf numFmtId="0" fontId="0" fillId="0" borderId="0" xfId="0" applyFill="1"/>
    <xf numFmtId="0" fontId="6" fillId="0" borderId="0" xfId="0" applyFont="1" applyFill="1" applyBorder="1"/>
    <xf numFmtId="0" fontId="0" fillId="0" borderId="0" xfId="0" applyFill="1" applyBorder="1"/>
    <xf numFmtId="0" fontId="7" fillId="0" borderId="0" xfId="2" applyFill="1" applyAlignment="1">
      <alignment horizontal="left"/>
    </xf>
    <xf numFmtId="0" fontId="9" fillId="0" borderId="0" xfId="4" applyFill="1" applyAlignment="1">
      <alignment horizontal="left"/>
    </xf>
    <xf numFmtId="0" fontId="9" fillId="0" borderId="0" xfId="4" applyFill="1" applyAlignment="1">
      <alignment horizontal="center"/>
    </xf>
    <xf numFmtId="0" fontId="9" fillId="0" borderId="0" xfId="4" applyFont="1" applyFill="1" applyAlignment="1">
      <alignment horizontal="left"/>
    </xf>
    <xf numFmtId="0" fontId="7" fillId="0" borderId="0" xfId="2" applyFont="1" applyFill="1" applyAlignment="1">
      <alignment horizontal="left"/>
    </xf>
    <xf numFmtId="0" fontId="8" fillId="0" borderId="0" xfId="3" applyFill="1" applyAlignment="1">
      <alignment horizontal="left"/>
    </xf>
    <xf numFmtId="0" fontId="8" fillId="0" borderId="0" xfId="3" applyFill="1" applyAlignment="1">
      <alignment horizontal="center"/>
    </xf>
    <xf numFmtId="0" fontId="8" fillId="0" borderId="0" xfId="3" quotePrefix="1" applyFill="1" applyAlignment="1">
      <alignment horizontal="center"/>
    </xf>
    <xf numFmtId="0" fontId="0" fillId="0" borderId="0" xfId="0" applyFill="1" applyAlignment="1">
      <alignment horizontal="right"/>
    </xf>
    <xf numFmtId="0" fontId="0" fillId="0" borderId="0" xfId="1" applyNumberFormat="1" applyFont="1" applyFill="1" applyAlignment="1">
      <alignment horizontal="center"/>
    </xf>
    <xf numFmtId="0" fontId="0" fillId="0" borderId="0" xfId="0" applyFill="1" applyAlignment="1">
      <alignment horizontal="left"/>
    </xf>
    <xf numFmtId="0" fontId="0" fillId="0" borderId="0" xfId="0" quotePrefix="1" applyFill="1" applyAlignment="1">
      <alignment horizontal="center"/>
    </xf>
    <xf numFmtId="0" fontId="6" fillId="0" borderId="0" xfId="0" applyFont="1" applyFill="1" applyAlignment="1">
      <alignment horizontal="left"/>
    </xf>
  </cellXfs>
  <cellStyles count="6">
    <cellStyle name="Bad" xfId="3" builtinId="27"/>
    <cellStyle name="Good" xfId="2" builtinId="26"/>
    <cellStyle name="Neutral" xfId="4" builtinId="28"/>
    <cellStyle name="Normal" xfId="0" builtinId="0"/>
    <cellStyle name="Normal 2" xfId="5"/>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9CCFF"/>
      <rgbColor rgb="FFFFA6A6"/>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FCC99"/>
      <color rgb="FF009900"/>
      <color rgb="FFCCFFCC"/>
      <color rgb="FF006600"/>
      <color rgb="FF000066"/>
      <color rgb="FF003366"/>
      <color rgb="FF990033"/>
      <color rgb="FFCC3300"/>
      <color rgb="FF99FF99"/>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7914078669852169"/>
          <c:y val="7.0357271606109481E-2"/>
          <c:w val="0.57952641898167789"/>
          <c:h val="0.86247376909211648"/>
        </c:manualLayout>
      </c:layout>
      <c:barChart>
        <c:barDir val="bar"/>
        <c:grouping val="stacked"/>
        <c:varyColors val="0"/>
        <c:ser>
          <c:idx val="0"/>
          <c:order val="0"/>
          <c:tx>
            <c:strRef>
              <c:f>'Survey-chart'!$C$1</c:f>
              <c:strCache>
                <c:ptCount val="1"/>
                <c:pt idx="0">
                  <c:v>Always</c:v>
                </c:pt>
              </c:strCache>
            </c:strRef>
          </c:tx>
          <c:spPr>
            <a:solidFill>
              <a:srgbClr val="990033"/>
            </a:solidFill>
            <a:ln>
              <a:noFill/>
            </a:ln>
            <a:effectLst/>
          </c:spPr>
          <c:invertIfNegative val="0"/>
          <c:cat>
            <c:strRef>
              <c:f>'Survey-chart'!$B$2:$B$16</c:f>
              <c:strCache>
                <c:ptCount val="15"/>
                <c:pt idx="0">
                  <c:v>DIFFICULTIES IN DECIDING…SOFTWARE TO FUZZ (F22)</c:v>
                </c:pt>
                <c:pt idx="1">
                  <c:v>DIFFICULTIES GENERATING THE CORRECT INPUTS… (F15)</c:v>
                </c:pt>
                <c:pt idx="2">
                  <c:v>DIFFICULTIES WRITING…FUZZING CODE (F21)</c:v>
                </c:pt>
                <c:pt idx="3">
                  <c:v>BAD CODE DESIGN… (F20)</c:v>
                </c:pt>
                <c:pt idx="4">
                  <c:v>DOCUMENTATION… (F17)</c:v>
                </c:pt>
                <c:pt idx="5">
                  <c:v>INCORRECT USE OF CORPUS… (F9)</c:v>
                </c:pt>
                <c:pt idx="6">
                  <c:v>ISSUES WITH THE FUZZING CODE… (F7)</c:v>
                </c:pt>
                <c:pt idx="7">
                  <c:v>INCOMPATIBILITY…FUZZING ENVIRONMENT… (F2)</c:v>
                </c:pt>
                <c:pt idx="8">
                  <c:v>BAD FUZZING TARGETS… (F6)</c:v>
                </c:pt>
                <c:pt idx="9">
                  <c:v>DIFFICULTIES IN SETTING UP… (F16)</c:v>
                </c:pt>
                <c:pt idx="10">
                  <c:v>ISSUES WITH THE BUILD TOOLS… (F10)</c:v>
                </c:pt>
                <c:pt idx="11">
                  <c:v>BUGS IN THE FUZZER CREATE FALSE CRASHES (F8)</c:v>
                </c:pt>
                <c:pt idx="12">
                  <c:v>OUTPUT MESSAGES ARE MISSING OR CONFUSING (F18)</c:v>
                </c:pt>
                <c:pt idx="13">
                  <c:v>DIFFERENT FUZZING ENVIRONMENTS… (F1)</c:v>
                </c:pt>
                <c:pt idx="14">
                  <c:v>ISSUES IN THE CORPUS… (F11)</c:v>
                </c:pt>
              </c:strCache>
            </c:strRef>
          </c:cat>
          <c:val>
            <c:numRef>
              <c:f>'Survey-chart'!$C$2:$C$16</c:f>
              <c:numCache>
                <c:formatCode>General</c:formatCode>
                <c:ptCount val="15"/>
                <c:pt idx="0">
                  <c:v>1</c:v>
                </c:pt>
                <c:pt idx="1">
                  <c:v>2</c:v>
                </c:pt>
                <c:pt idx="2">
                  <c:v>2</c:v>
                </c:pt>
                <c:pt idx="3">
                  <c:v>1</c:v>
                </c:pt>
                <c:pt idx="4">
                  <c:v>0</c:v>
                </c:pt>
                <c:pt idx="5">
                  <c:v>1</c:v>
                </c:pt>
                <c:pt idx="6">
                  <c:v>1</c:v>
                </c:pt>
                <c:pt idx="7">
                  <c:v>2</c:v>
                </c:pt>
                <c:pt idx="8">
                  <c:v>2</c:v>
                </c:pt>
                <c:pt idx="9">
                  <c:v>2</c:v>
                </c:pt>
                <c:pt idx="10">
                  <c:v>2</c:v>
                </c:pt>
                <c:pt idx="11">
                  <c:v>1</c:v>
                </c:pt>
                <c:pt idx="12">
                  <c:v>0</c:v>
                </c:pt>
                <c:pt idx="13">
                  <c:v>1</c:v>
                </c:pt>
                <c:pt idx="14">
                  <c:v>0</c:v>
                </c:pt>
              </c:numCache>
            </c:numRef>
          </c:val>
          <c:extLst xmlns:c16r2="http://schemas.microsoft.com/office/drawing/2015/06/chart">
            <c:ext xmlns:c16="http://schemas.microsoft.com/office/drawing/2014/chart" uri="{C3380CC4-5D6E-409C-BE32-E72D297353CC}">
              <c16:uniqueId val="{00000000-0BB4-41D1-8A14-979630A7D50D}"/>
            </c:ext>
          </c:extLst>
        </c:ser>
        <c:ser>
          <c:idx val="1"/>
          <c:order val="1"/>
          <c:tx>
            <c:strRef>
              <c:f>'Survey-chart'!$D$1</c:f>
              <c:strCache>
                <c:ptCount val="1"/>
                <c:pt idx="0">
                  <c:v>Often</c:v>
                </c:pt>
              </c:strCache>
            </c:strRef>
          </c:tx>
          <c:spPr>
            <a:solidFill>
              <a:srgbClr val="FFCC99"/>
            </a:solidFill>
            <a:ln>
              <a:noFill/>
            </a:ln>
            <a:effectLst/>
          </c:spPr>
          <c:invertIfNegative val="0"/>
          <c:cat>
            <c:strRef>
              <c:f>'Survey-chart'!$B$2:$B$16</c:f>
              <c:strCache>
                <c:ptCount val="15"/>
                <c:pt idx="0">
                  <c:v>DIFFICULTIES IN DECIDING…SOFTWARE TO FUZZ (F22)</c:v>
                </c:pt>
                <c:pt idx="1">
                  <c:v>DIFFICULTIES GENERATING THE CORRECT INPUTS… (F15)</c:v>
                </c:pt>
                <c:pt idx="2">
                  <c:v>DIFFICULTIES WRITING…FUZZING CODE (F21)</c:v>
                </c:pt>
                <c:pt idx="3">
                  <c:v>BAD CODE DESIGN… (F20)</c:v>
                </c:pt>
                <c:pt idx="4">
                  <c:v>DOCUMENTATION… (F17)</c:v>
                </c:pt>
                <c:pt idx="5">
                  <c:v>INCORRECT USE OF CORPUS… (F9)</c:v>
                </c:pt>
                <c:pt idx="6">
                  <c:v>ISSUES WITH THE FUZZING CODE… (F7)</c:v>
                </c:pt>
                <c:pt idx="7">
                  <c:v>INCOMPATIBILITY…FUZZING ENVIRONMENT… (F2)</c:v>
                </c:pt>
                <c:pt idx="8">
                  <c:v>BAD FUZZING TARGETS… (F6)</c:v>
                </c:pt>
                <c:pt idx="9">
                  <c:v>DIFFICULTIES IN SETTING UP… (F16)</c:v>
                </c:pt>
                <c:pt idx="10">
                  <c:v>ISSUES WITH THE BUILD TOOLS… (F10)</c:v>
                </c:pt>
                <c:pt idx="11">
                  <c:v>BUGS IN THE FUZZER CREATE FALSE CRASHES (F8)</c:v>
                </c:pt>
                <c:pt idx="12">
                  <c:v>OUTPUT MESSAGES ARE MISSING OR CONFUSING (F18)</c:v>
                </c:pt>
                <c:pt idx="13">
                  <c:v>DIFFERENT FUZZING ENVIRONMENTS… (F1)</c:v>
                </c:pt>
                <c:pt idx="14">
                  <c:v>ISSUES IN THE CORPUS… (F11)</c:v>
                </c:pt>
              </c:strCache>
            </c:strRef>
          </c:cat>
          <c:val>
            <c:numRef>
              <c:f>'Survey-chart'!$D$2:$D$16</c:f>
              <c:numCache>
                <c:formatCode>General</c:formatCode>
                <c:ptCount val="15"/>
                <c:pt idx="0">
                  <c:v>7</c:v>
                </c:pt>
                <c:pt idx="1">
                  <c:v>5</c:v>
                </c:pt>
                <c:pt idx="2">
                  <c:v>5</c:v>
                </c:pt>
                <c:pt idx="3">
                  <c:v>6</c:v>
                </c:pt>
                <c:pt idx="4">
                  <c:v>7</c:v>
                </c:pt>
                <c:pt idx="5">
                  <c:v>5</c:v>
                </c:pt>
                <c:pt idx="6">
                  <c:v>4</c:v>
                </c:pt>
                <c:pt idx="7">
                  <c:v>2</c:v>
                </c:pt>
                <c:pt idx="8">
                  <c:v>2</c:v>
                </c:pt>
                <c:pt idx="9">
                  <c:v>2</c:v>
                </c:pt>
                <c:pt idx="10">
                  <c:v>0</c:v>
                </c:pt>
                <c:pt idx="11">
                  <c:v>1</c:v>
                </c:pt>
                <c:pt idx="12">
                  <c:v>2</c:v>
                </c:pt>
                <c:pt idx="13">
                  <c:v>0</c:v>
                </c:pt>
                <c:pt idx="14">
                  <c:v>1</c:v>
                </c:pt>
              </c:numCache>
            </c:numRef>
          </c:val>
          <c:extLst xmlns:c16r2="http://schemas.microsoft.com/office/drawing/2015/06/chart">
            <c:ext xmlns:c16="http://schemas.microsoft.com/office/drawing/2014/chart" uri="{C3380CC4-5D6E-409C-BE32-E72D297353CC}">
              <c16:uniqueId val="{00000001-0BB4-41D1-8A14-979630A7D50D}"/>
            </c:ext>
          </c:extLst>
        </c:ser>
        <c:ser>
          <c:idx val="2"/>
          <c:order val="2"/>
          <c:tx>
            <c:strRef>
              <c:f>'Survey-chart'!$E$1</c:f>
              <c:strCache>
                <c:ptCount val="1"/>
                <c:pt idx="0">
                  <c:v>Sometimes</c:v>
                </c:pt>
              </c:strCache>
            </c:strRef>
          </c:tx>
          <c:spPr>
            <a:solidFill>
              <a:srgbClr val="000066"/>
            </a:solidFill>
            <a:ln>
              <a:noFill/>
            </a:ln>
            <a:effectLst/>
          </c:spPr>
          <c:invertIfNegative val="0"/>
          <c:cat>
            <c:strRef>
              <c:f>'Survey-chart'!$B$2:$B$16</c:f>
              <c:strCache>
                <c:ptCount val="15"/>
                <c:pt idx="0">
                  <c:v>DIFFICULTIES IN DECIDING…SOFTWARE TO FUZZ (F22)</c:v>
                </c:pt>
                <c:pt idx="1">
                  <c:v>DIFFICULTIES GENERATING THE CORRECT INPUTS… (F15)</c:v>
                </c:pt>
                <c:pt idx="2">
                  <c:v>DIFFICULTIES WRITING…FUZZING CODE (F21)</c:v>
                </c:pt>
                <c:pt idx="3">
                  <c:v>BAD CODE DESIGN… (F20)</c:v>
                </c:pt>
                <c:pt idx="4">
                  <c:v>DOCUMENTATION… (F17)</c:v>
                </c:pt>
                <c:pt idx="5">
                  <c:v>INCORRECT USE OF CORPUS… (F9)</c:v>
                </c:pt>
                <c:pt idx="6">
                  <c:v>ISSUES WITH THE FUZZING CODE… (F7)</c:v>
                </c:pt>
                <c:pt idx="7">
                  <c:v>INCOMPATIBILITY…FUZZING ENVIRONMENT… (F2)</c:v>
                </c:pt>
                <c:pt idx="8">
                  <c:v>BAD FUZZING TARGETS… (F6)</c:v>
                </c:pt>
                <c:pt idx="9">
                  <c:v>DIFFICULTIES IN SETTING UP… (F16)</c:v>
                </c:pt>
                <c:pt idx="10">
                  <c:v>ISSUES WITH THE BUILD TOOLS… (F10)</c:v>
                </c:pt>
                <c:pt idx="11">
                  <c:v>BUGS IN THE FUZZER CREATE FALSE CRASHES (F8)</c:v>
                </c:pt>
                <c:pt idx="12">
                  <c:v>OUTPUT MESSAGES ARE MISSING OR CONFUSING (F18)</c:v>
                </c:pt>
                <c:pt idx="13">
                  <c:v>DIFFERENT FUZZING ENVIRONMENTS… (F1)</c:v>
                </c:pt>
                <c:pt idx="14">
                  <c:v>ISSUES IN THE CORPUS… (F11)</c:v>
                </c:pt>
              </c:strCache>
            </c:strRef>
          </c:cat>
          <c:val>
            <c:numRef>
              <c:f>'Survey-chart'!$E$2:$E$16</c:f>
              <c:numCache>
                <c:formatCode>General</c:formatCode>
                <c:ptCount val="15"/>
                <c:pt idx="0">
                  <c:v>4</c:v>
                </c:pt>
                <c:pt idx="1">
                  <c:v>3</c:v>
                </c:pt>
                <c:pt idx="2">
                  <c:v>4</c:v>
                </c:pt>
                <c:pt idx="3">
                  <c:v>2</c:v>
                </c:pt>
                <c:pt idx="4">
                  <c:v>4</c:v>
                </c:pt>
                <c:pt idx="5">
                  <c:v>4</c:v>
                </c:pt>
                <c:pt idx="6">
                  <c:v>8</c:v>
                </c:pt>
                <c:pt idx="7">
                  <c:v>3</c:v>
                </c:pt>
                <c:pt idx="8">
                  <c:v>12</c:v>
                </c:pt>
                <c:pt idx="9">
                  <c:v>7</c:v>
                </c:pt>
                <c:pt idx="10">
                  <c:v>5</c:v>
                </c:pt>
                <c:pt idx="11">
                  <c:v>6</c:v>
                </c:pt>
                <c:pt idx="12">
                  <c:v>3</c:v>
                </c:pt>
                <c:pt idx="13">
                  <c:v>2</c:v>
                </c:pt>
                <c:pt idx="14">
                  <c:v>2</c:v>
                </c:pt>
              </c:numCache>
            </c:numRef>
          </c:val>
          <c:extLst xmlns:c16r2="http://schemas.microsoft.com/office/drawing/2015/06/chart">
            <c:ext xmlns:c16="http://schemas.microsoft.com/office/drawing/2014/chart" uri="{C3380CC4-5D6E-409C-BE32-E72D297353CC}">
              <c16:uniqueId val="{00000002-0BB4-41D1-8A14-979630A7D50D}"/>
            </c:ext>
          </c:extLst>
        </c:ser>
        <c:ser>
          <c:idx val="3"/>
          <c:order val="3"/>
          <c:tx>
            <c:strRef>
              <c:f>'Survey-chart'!$F$1</c:f>
              <c:strCache>
                <c:ptCount val="1"/>
                <c:pt idx="0">
                  <c:v>Rarely</c:v>
                </c:pt>
              </c:strCache>
            </c:strRef>
          </c:tx>
          <c:spPr>
            <a:solidFill>
              <a:srgbClr val="CCFFCC"/>
            </a:solidFill>
            <a:ln>
              <a:noFill/>
            </a:ln>
            <a:effectLst/>
          </c:spPr>
          <c:invertIfNegative val="0"/>
          <c:cat>
            <c:strRef>
              <c:f>'Survey-chart'!$B$2:$B$16</c:f>
              <c:strCache>
                <c:ptCount val="15"/>
                <c:pt idx="0">
                  <c:v>DIFFICULTIES IN DECIDING…SOFTWARE TO FUZZ (F22)</c:v>
                </c:pt>
                <c:pt idx="1">
                  <c:v>DIFFICULTIES GENERATING THE CORRECT INPUTS… (F15)</c:v>
                </c:pt>
                <c:pt idx="2">
                  <c:v>DIFFICULTIES WRITING…FUZZING CODE (F21)</c:v>
                </c:pt>
                <c:pt idx="3">
                  <c:v>BAD CODE DESIGN… (F20)</c:v>
                </c:pt>
                <c:pt idx="4">
                  <c:v>DOCUMENTATION… (F17)</c:v>
                </c:pt>
                <c:pt idx="5">
                  <c:v>INCORRECT USE OF CORPUS… (F9)</c:v>
                </c:pt>
                <c:pt idx="6">
                  <c:v>ISSUES WITH THE FUZZING CODE… (F7)</c:v>
                </c:pt>
                <c:pt idx="7">
                  <c:v>INCOMPATIBILITY…FUZZING ENVIRONMENT… (F2)</c:v>
                </c:pt>
                <c:pt idx="8">
                  <c:v>BAD FUZZING TARGETS… (F6)</c:v>
                </c:pt>
                <c:pt idx="9">
                  <c:v>DIFFICULTIES IN SETTING UP… (F16)</c:v>
                </c:pt>
                <c:pt idx="10">
                  <c:v>ISSUES WITH THE BUILD TOOLS… (F10)</c:v>
                </c:pt>
                <c:pt idx="11">
                  <c:v>BUGS IN THE FUZZER CREATE FALSE CRASHES (F8)</c:v>
                </c:pt>
                <c:pt idx="12">
                  <c:v>OUTPUT MESSAGES ARE MISSING OR CONFUSING (F18)</c:v>
                </c:pt>
                <c:pt idx="13">
                  <c:v>DIFFERENT FUZZING ENVIRONMENTS… (F1)</c:v>
                </c:pt>
                <c:pt idx="14">
                  <c:v>ISSUES IN THE CORPUS… (F11)</c:v>
                </c:pt>
              </c:strCache>
            </c:strRef>
          </c:cat>
          <c:val>
            <c:numRef>
              <c:f>'Survey-chart'!$F$2:$F$16</c:f>
              <c:numCache>
                <c:formatCode>General</c:formatCode>
                <c:ptCount val="15"/>
                <c:pt idx="0">
                  <c:v>4</c:v>
                </c:pt>
                <c:pt idx="1">
                  <c:v>4</c:v>
                </c:pt>
                <c:pt idx="2">
                  <c:v>3</c:v>
                </c:pt>
                <c:pt idx="3">
                  <c:v>2</c:v>
                </c:pt>
                <c:pt idx="4">
                  <c:v>7</c:v>
                </c:pt>
                <c:pt idx="5">
                  <c:v>2</c:v>
                </c:pt>
                <c:pt idx="6">
                  <c:v>3</c:v>
                </c:pt>
                <c:pt idx="7">
                  <c:v>2</c:v>
                </c:pt>
                <c:pt idx="8">
                  <c:v>1</c:v>
                </c:pt>
                <c:pt idx="9">
                  <c:v>5</c:v>
                </c:pt>
                <c:pt idx="10">
                  <c:v>0</c:v>
                </c:pt>
                <c:pt idx="11">
                  <c:v>2</c:v>
                </c:pt>
                <c:pt idx="12">
                  <c:v>7</c:v>
                </c:pt>
                <c:pt idx="13">
                  <c:v>6</c:v>
                </c:pt>
                <c:pt idx="14">
                  <c:v>3</c:v>
                </c:pt>
              </c:numCache>
            </c:numRef>
          </c:val>
          <c:extLst xmlns:c16r2="http://schemas.microsoft.com/office/drawing/2015/06/chart">
            <c:ext xmlns:c16="http://schemas.microsoft.com/office/drawing/2014/chart" uri="{C3380CC4-5D6E-409C-BE32-E72D297353CC}">
              <c16:uniqueId val="{00000003-0BB4-41D1-8A14-979630A7D50D}"/>
            </c:ext>
          </c:extLst>
        </c:ser>
        <c:ser>
          <c:idx val="4"/>
          <c:order val="4"/>
          <c:tx>
            <c:strRef>
              <c:f>'Survey-chart'!$G$1</c:f>
              <c:strCache>
                <c:ptCount val="1"/>
                <c:pt idx="0">
                  <c:v>Never</c:v>
                </c:pt>
              </c:strCache>
            </c:strRef>
          </c:tx>
          <c:spPr>
            <a:solidFill>
              <a:srgbClr val="009900"/>
            </a:solidFill>
            <a:ln>
              <a:noFill/>
            </a:ln>
            <a:effectLst/>
          </c:spPr>
          <c:invertIfNegative val="0"/>
          <c:cat>
            <c:strRef>
              <c:f>'Survey-chart'!$B$2:$B$16</c:f>
              <c:strCache>
                <c:ptCount val="15"/>
                <c:pt idx="0">
                  <c:v>DIFFICULTIES IN DECIDING…SOFTWARE TO FUZZ (F22)</c:v>
                </c:pt>
                <c:pt idx="1">
                  <c:v>DIFFICULTIES GENERATING THE CORRECT INPUTS… (F15)</c:v>
                </c:pt>
                <c:pt idx="2">
                  <c:v>DIFFICULTIES WRITING…FUZZING CODE (F21)</c:v>
                </c:pt>
                <c:pt idx="3">
                  <c:v>BAD CODE DESIGN… (F20)</c:v>
                </c:pt>
                <c:pt idx="4">
                  <c:v>DOCUMENTATION… (F17)</c:v>
                </c:pt>
                <c:pt idx="5">
                  <c:v>INCORRECT USE OF CORPUS… (F9)</c:v>
                </c:pt>
                <c:pt idx="6">
                  <c:v>ISSUES WITH THE FUZZING CODE… (F7)</c:v>
                </c:pt>
                <c:pt idx="7">
                  <c:v>INCOMPATIBILITY…FUZZING ENVIRONMENT… (F2)</c:v>
                </c:pt>
                <c:pt idx="8">
                  <c:v>BAD FUZZING TARGETS… (F6)</c:v>
                </c:pt>
                <c:pt idx="9">
                  <c:v>DIFFICULTIES IN SETTING UP… (F16)</c:v>
                </c:pt>
                <c:pt idx="10">
                  <c:v>ISSUES WITH THE BUILD TOOLS… (F10)</c:v>
                </c:pt>
                <c:pt idx="11">
                  <c:v>BUGS IN THE FUZZER CREATE FALSE CRASHES (F8)</c:v>
                </c:pt>
                <c:pt idx="12">
                  <c:v>OUTPUT MESSAGES ARE MISSING OR CONFUSING (F18)</c:v>
                </c:pt>
                <c:pt idx="13">
                  <c:v>DIFFERENT FUZZING ENVIRONMENTS… (F1)</c:v>
                </c:pt>
                <c:pt idx="14">
                  <c:v>ISSUES IN THE CORPUS… (F11)</c:v>
                </c:pt>
              </c:strCache>
            </c:strRef>
          </c:cat>
          <c:val>
            <c:numRef>
              <c:f>'Survey-chart'!$G$2:$G$16</c:f>
              <c:numCache>
                <c:formatCode>General</c:formatCode>
                <c:ptCount val="15"/>
                <c:pt idx="0">
                  <c:v>2</c:v>
                </c:pt>
                <c:pt idx="1">
                  <c:v>4</c:v>
                </c:pt>
                <c:pt idx="2">
                  <c:v>2</c:v>
                </c:pt>
                <c:pt idx="3">
                  <c:v>8</c:v>
                </c:pt>
                <c:pt idx="4">
                  <c:v>2</c:v>
                </c:pt>
                <c:pt idx="5">
                  <c:v>5</c:v>
                </c:pt>
                <c:pt idx="6">
                  <c:v>3</c:v>
                </c:pt>
                <c:pt idx="7">
                  <c:v>12</c:v>
                </c:pt>
                <c:pt idx="8">
                  <c:v>4</c:v>
                </c:pt>
                <c:pt idx="9">
                  <c:v>4</c:v>
                </c:pt>
                <c:pt idx="10">
                  <c:v>13</c:v>
                </c:pt>
                <c:pt idx="11">
                  <c:v>9</c:v>
                </c:pt>
                <c:pt idx="12">
                  <c:v>6</c:v>
                </c:pt>
                <c:pt idx="13">
                  <c:v>11</c:v>
                </c:pt>
                <c:pt idx="14">
                  <c:v>12</c:v>
                </c:pt>
              </c:numCache>
            </c:numRef>
          </c:val>
          <c:extLst xmlns:c16r2="http://schemas.microsoft.com/office/drawing/2015/06/chart">
            <c:ext xmlns:c16="http://schemas.microsoft.com/office/drawing/2014/chart" uri="{C3380CC4-5D6E-409C-BE32-E72D297353CC}">
              <c16:uniqueId val="{00000004-0BB4-41D1-8A14-979630A7D50D}"/>
            </c:ext>
          </c:extLst>
        </c:ser>
        <c:ser>
          <c:idx val="5"/>
          <c:order val="5"/>
          <c:tx>
            <c:strRef>
              <c:f>'Survey-chart'!$H$1</c:f>
              <c:strCache>
                <c:ptCount val="1"/>
                <c:pt idx="0">
                  <c:v>I don't know</c:v>
                </c:pt>
              </c:strCache>
            </c:strRef>
          </c:tx>
          <c:spPr>
            <a:solidFill>
              <a:schemeClr val="bg1">
                <a:lumMod val="75000"/>
              </a:schemeClr>
            </a:solidFill>
            <a:ln>
              <a:noFill/>
            </a:ln>
            <a:effectLst/>
          </c:spPr>
          <c:invertIfNegative val="0"/>
          <c:cat>
            <c:strRef>
              <c:f>'Survey-chart'!$B$2:$B$16</c:f>
              <c:strCache>
                <c:ptCount val="15"/>
                <c:pt idx="0">
                  <c:v>DIFFICULTIES IN DECIDING…SOFTWARE TO FUZZ (F22)</c:v>
                </c:pt>
                <c:pt idx="1">
                  <c:v>DIFFICULTIES GENERATING THE CORRECT INPUTS… (F15)</c:v>
                </c:pt>
                <c:pt idx="2">
                  <c:v>DIFFICULTIES WRITING…FUZZING CODE (F21)</c:v>
                </c:pt>
                <c:pt idx="3">
                  <c:v>BAD CODE DESIGN… (F20)</c:v>
                </c:pt>
                <c:pt idx="4">
                  <c:v>DOCUMENTATION… (F17)</c:v>
                </c:pt>
                <c:pt idx="5">
                  <c:v>INCORRECT USE OF CORPUS… (F9)</c:v>
                </c:pt>
                <c:pt idx="6">
                  <c:v>ISSUES WITH THE FUZZING CODE… (F7)</c:v>
                </c:pt>
                <c:pt idx="7">
                  <c:v>INCOMPATIBILITY…FUZZING ENVIRONMENT… (F2)</c:v>
                </c:pt>
                <c:pt idx="8">
                  <c:v>BAD FUZZING TARGETS… (F6)</c:v>
                </c:pt>
                <c:pt idx="9">
                  <c:v>DIFFICULTIES IN SETTING UP… (F16)</c:v>
                </c:pt>
                <c:pt idx="10">
                  <c:v>ISSUES WITH THE BUILD TOOLS… (F10)</c:v>
                </c:pt>
                <c:pt idx="11">
                  <c:v>BUGS IN THE FUZZER CREATE FALSE CRASHES (F8)</c:v>
                </c:pt>
                <c:pt idx="12">
                  <c:v>OUTPUT MESSAGES ARE MISSING OR CONFUSING (F18)</c:v>
                </c:pt>
                <c:pt idx="13">
                  <c:v>DIFFERENT FUZZING ENVIRONMENTS… (F1)</c:v>
                </c:pt>
                <c:pt idx="14">
                  <c:v>ISSUES IN THE CORPUS… (F11)</c:v>
                </c:pt>
              </c:strCache>
            </c:strRef>
          </c:cat>
          <c:val>
            <c:numRef>
              <c:f>'Survey-chart'!$H$2:$H$16</c:f>
              <c:numCache>
                <c:formatCode>General</c:formatCode>
                <c:ptCount val="15"/>
                <c:pt idx="0">
                  <c:v>3</c:v>
                </c:pt>
                <c:pt idx="1">
                  <c:v>3</c:v>
                </c:pt>
                <c:pt idx="2">
                  <c:v>5</c:v>
                </c:pt>
                <c:pt idx="3">
                  <c:v>2</c:v>
                </c:pt>
                <c:pt idx="4">
                  <c:v>1</c:v>
                </c:pt>
                <c:pt idx="5">
                  <c:v>4</c:v>
                </c:pt>
                <c:pt idx="6">
                  <c:v>2</c:v>
                </c:pt>
                <c:pt idx="7">
                  <c:v>0</c:v>
                </c:pt>
                <c:pt idx="8">
                  <c:v>0</c:v>
                </c:pt>
                <c:pt idx="9">
                  <c:v>1</c:v>
                </c:pt>
                <c:pt idx="10">
                  <c:v>1</c:v>
                </c:pt>
                <c:pt idx="11">
                  <c:v>2</c:v>
                </c:pt>
                <c:pt idx="12">
                  <c:v>3</c:v>
                </c:pt>
                <c:pt idx="13">
                  <c:v>1</c:v>
                </c:pt>
                <c:pt idx="14">
                  <c:v>3</c:v>
                </c:pt>
              </c:numCache>
            </c:numRef>
          </c:val>
          <c:extLst xmlns:c16r2="http://schemas.microsoft.com/office/drawing/2015/06/chart">
            <c:ext xmlns:c16="http://schemas.microsoft.com/office/drawing/2014/chart" uri="{C3380CC4-5D6E-409C-BE32-E72D297353CC}">
              <c16:uniqueId val="{00000005-0BB4-41D1-8A14-979630A7D50D}"/>
            </c:ext>
          </c:extLst>
        </c:ser>
        <c:dLbls>
          <c:showLegendKey val="0"/>
          <c:showVal val="0"/>
          <c:showCatName val="0"/>
          <c:showSerName val="0"/>
          <c:showPercent val="0"/>
          <c:showBubbleSize val="0"/>
        </c:dLbls>
        <c:gapWidth val="150"/>
        <c:overlap val="100"/>
        <c:axId val="537210904"/>
        <c:axId val="541343736"/>
      </c:barChart>
      <c:catAx>
        <c:axId val="537210904"/>
        <c:scaling>
          <c:orientation val="maxMin"/>
        </c:scaling>
        <c:delete val="0"/>
        <c:axPos val="l"/>
        <c:numFmt formatCode="0%"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41343736"/>
        <c:crosses val="autoZero"/>
        <c:auto val="1"/>
        <c:lblAlgn val="ctr"/>
        <c:lblOffset val="100"/>
        <c:noMultiLvlLbl val="0"/>
      </c:catAx>
      <c:valAx>
        <c:axId val="541343736"/>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21090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257174</xdr:colOff>
      <xdr:row>18</xdr:row>
      <xdr:rowOff>57150</xdr:rowOff>
    </xdr:from>
    <xdr:to>
      <xdr:col>19</xdr:col>
      <xdr:colOff>50800</xdr:colOff>
      <xdr:row>47</xdr:row>
      <xdr:rowOff>171450</xdr:rowOff>
    </xdr:to>
    <xdr:graphicFrame macro="">
      <xdr:nvGraphicFramePr>
        <xdr:cNvPr id="4" name="Chart 3">
          <a:extLst>
            <a:ext uri="{FF2B5EF4-FFF2-40B4-BE49-F238E27FC236}">
              <a16:creationId xmlns:a16="http://schemas.microsoft.com/office/drawing/2014/main" xmlns=""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949"/>
  <sheetViews>
    <sheetView topLeftCell="A3" zoomScale="120" zoomScaleNormal="120" workbookViewId="0">
      <selection activeCell="E17" sqref="E17"/>
    </sheetView>
  </sheetViews>
  <sheetFormatPr defaultRowHeight="12.5"/>
  <cols>
    <col min="1" max="1" width="14.36328125" style="7" customWidth="1"/>
    <col min="2" max="2" width="9.81640625" style="1" customWidth="1"/>
    <col min="3" max="16" width="8.81640625" style="1"/>
    <col min="17" max="17" width="10.81640625" customWidth="1"/>
  </cols>
  <sheetData>
    <row r="1" spans="1:16">
      <c r="A1" s="7" t="s">
        <v>0</v>
      </c>
      <c r="B1" s="1" t="s">
        <v>1</v>
      </c>
      <c r="C1" s="1" t="s">
        <v>2</v>
      </c>
      <c r="D1" s="1" t="s">
        <v>3</v>
      </c>
      <c r="E1" s="1" t="s">
        <v>4</v>
      </c>
    </row>
    <row r="4" spans="1:16" ht="409.6" hidden="1" thickBot="1">
      <c r="A4" s="8"/>
      <c r="B4" s="2" t="s">
        <v>5</v>
      </c>
      <c r="C4" s="2" t="s">
        <v>6</v>
      </c>
      <c r="D4" s="2" t="s">
        <v>7</v>
      </c>
      <c r="E4" s="2" t="s">
        <v>8</v>
      </c>
      <c r="F4" s="2" t="s">
        <v>9</v>
      </c>
      <c r="G4" s="2" t="s">
        <v>10</v>
      </c>
      <c r="H4" s="2" t="s">
        <v>11</v>
      </c>
      <c r="I4" s="2" t="s">
        <v>12</v>
      </c>
      <c r="J4" s="2" t="s">
        <v>13</v>
      </c>
      <c r="K4" s="2" t="s">
        <v>14</v>
      </c>
      <c r="L4" s="2" t="s">
        <v>15</v>
      </c>
      <c r="M4" s="2" t="s">
        <v>16</v>
      </c>
      <c r="N4" s="2" t="s">
        <v>17</v>
      </c>
      <c r="O4" s="2" t="s">
        <v>18</v>
      </c>
      <c r="P4" s="2" t="s">
        <v>19</v>
      </c>
    </row>
    <row r="5" spans="1:16" ht="63" thickBot="1">
      <c r="A5" s="6" t="s">
        <v>20</v>
      </c>
      <c r="B5" s="5" t="s">
        <v>21</v>
      </c>
      <c r="C5" s="5" t="s">
        <v>22</v>
      </c>
      <c r="D5" s="5" t="s">
        <v>23</v>
      </c>
      <c r="E5" s="5" t="s">
        <v>24</v>
      </c>
      <c r="F5" s="5" t="s">
        <v>25</v>
      </c>
      <c r="G5" s="5" t="s">
        <v>26</v>
      </c>
      <c r="H5" s="5" t="s">
        <v>27</v>
      </c>
      <c r="I5" s="5" t="s">
        <v>28</v>
      </c>
      <c r="J5" s="5" t="s">
        <v>29</v>
      </c>
      <c r="K5" s="5" t="s">
        <v>30</v>
      </c>
      <c r="L5" s="5" t="s">
        <v>31</v>
      </c>
      <c r="M5" s="5" t="s">
        <v>32</v>
      </c>
      <c r="N5" s="5" t="s">
        <v>33</v>
      </c>
      <c r="O5" s="5" t="s">
        <v>34</v>
      </c>
      <c r="P5" s="5" t="s">
        <v>35</v>
      </c>
    </row>
    <row r="6" spans="1:16" ht="13" thickBot="1">
      <c r="A6" s="3">
        <v>1</v>
      </c>
      <c r="B6" t="s">
        <v>62</v>
      </c>
      <c r="C6" t="s">
        <v>62</v>
      </c>
      <c r="D6" t="s">
        <v>62</v>
      </c>
      <c r="E6" t="s">
        <v>63</v>
      </c>
      <c r="F6" t="s">
        <v>64</v>
      </c>
      <c r="G6" t="s">
        <v>64</v>
      </c>
      <c r="H6" t="s">
        <v>62</v>
      </c>
      <c r="I6" t="s">
        <v>63</v>
      </c>
      <c r="J6" t="s">
        <v>64</v>
      </c>
      <c r="K6" t="s">
        <v>64</v>
      </c>
      <c r="L6" t="s">
        <v>63</v>
      </c>
      <c r="M6" t="s">
        <v>63</v>
      </c>
      <c r="N6" t="s">
        <v>63</v>
      </c>
      <c r="O6" t="s">
        <v>64</v>
      </c>
      <c r="P6" t="s">
        <v>64</v>
      </c>
    </row>
    <row r="7" spans="1:16" ht="13" thickBot="1">
      <c r="A7" s="4">
        <f>A6+1</f>
        <v>2</v>
      </c>
      <c r="B7" t="s">
        <v>62</v>
      </c>
      <c r="C7" t="s">
        <v>62</v>
      </c>
      <c r="D7" t="s">
        <v>64</v>
      </c>
      <c r="E7" t="s">
        <v>62</v>
      </c>
      <c r="F7" t="s">
        <v>63</v>
      </c>
      <c r="G7" t="s">
        <v>65</v>
      </c>
      <c r="H7" t="s">
        <v>62</v>
      </c>
      <c r="I7" t="s">
        <v>65</v>
      </c>
      <c r="J7" t="s">
        <v>65</v>
      </c>
      <c r="K7" t="s">
        <v>62</v>
      </c>
      <c r="L7" t="s">
        <v>64</v>
      </c>
      <c r="M7" t="s">
        <v>62</v>
      </c>
      <c r="N7" t="s">
        <v>65</v>
      </c>
      <c r="O7" t="s">
        <v>65</v>
      </c>
      <c r="P7" t="s">
        <v>65</v>
      </c>
    </row>
    <row r="8" spans="1:16" ht="13" thickBot="1">
      <c r="A8" s="4">
        <f t="shared" ref="A8:A25" si="0">A7+1</f>
        <v>3</v>
      </c>
      <c r="B8" t="s">
        <v>63</v>
      </c>
      <c r="C8" t="s">
        <v>62</v>
      </c>
      <c r="D8" t="s">
        <v>62</v>
      </c>
      <c r="E8" t="s">
        <v>62</v>
      </c>
      <c r="F8" t="s">
        <v>62</v>
      </c>
      <c r="G8" t="s">
        <v>62</v>
      </c>
      <c r="H8" t="s">
        <v>62</v>
      </c>
      <c r="I8" t="s">
        <v>62</v>
      </c>
      <c r="J8" t="s">
        <v>62</v>
      </c>
      <c r="K8" t="s">
        <v>62</v>
      </c>
      <c r="L8" t="s">
        <v>64</v>
      </c>
      <c r="M8" t="s">
        <v>62</v>
      </c>
      <c r="N8" t="s">
        <v>62</v>
      </c>
      <c r="O8" t="s">
        <v>62</v>
      </c>
      <c r="P8" t="s">
        <v>63</v>
      </c>
    </row>
    <row r="9" spans="1:16" ht="13" thickBot="1">
      <c r="A9" s="4">
        <f t="shared" si="0"/>
        <v>4</v>
      </c>
      <c r="B9" t="s">
        <v>63</v>
      </c>
      <c r="C9" t="s">
        <v>63</v>
      </c>
      <c r="D9" t="s">
        <v>66</v>
      </c>
      <c r="E9" t="s">
        <v>66</v>
      </c>
      <c r="F9" t="s">
        <v>62</v>
      </c>
      <c r="G9" t="s">
        <v>62</v>
      </c>
      <c r="H9" t="s">
        <v>62</v>
      </c>
      <c r="I9" t="s">
        <v>62</v>
      </c>
      <c r="J9" t="s">
        <v>66</v>
      </c>
      <c r="K9" t="s">
        <v>66</v>
      </c>
      <c r="L9" t="s">
        <v>65</v>
      </c>
      <c r="M9" t="s">
        <v>63</v>
      </c>
      <c r="N9" t="s">
        <v>65</v>
      </c>
      <c r="O9" t="s">
        <v>66</v>
      </c>
      <c r="P9" t="s">
        <v>65</v>
      </c>
    </row>
    <row r="10" spans="1:16" ht="13" thickBot="1">
      <c r="A10" s="4">
        <f t="shared" si="0"/>
        <v>5</v>
      </c>
      <c r="B10" t="s">
        <v>62</v>
      </c>
      <c r="C10" t="s">
        <v>62</v>
      </c>
      <c r="D10" t="s">
        <v>64</v>
      </c>
      <c r="E10" t="s">
        <v>64</v>
      </c>
      <c r="F10" t="s">
        <v>64</v>
      </c>
      <c r="G10" t="s">
        <v>67</v>
      </c>
      <c r="H10" t="s">
        <v>64</v>
      </c>
      <c r="I10" t="s">
        <v>67</v>
      </c>
      <c r="J10" t="s">
        <v>63</v>
      </c>
      <c r="K10" t="s">
        <v>63</v>
      </c>
      <c r="L10" t="s">
        <v>67</v>
      </c>
      <c r="M10" t="s">
        <v>63</v>
      </c>
      <c r="N10" t="s">
        <v>63</v>
      </c>
      <c r="O10" t="s">
        <v>63</v>
      </c>
      <c r="P10" t="s">
        <v>63</v>
      </c>
    </row>
    <row r="11" spans="1:16" ht="13" thickBot="1">
      <c r="A11" s="4">
        <f t="shared" si="0"/>
        <v>6</v>
      </c>
      <c r="B11" t="s">
        <v>62</v>
      </c>
      <c r="C11" t="s">
        <v>62</v>
      </c>
      <c r="D11" t="s">
        <v>64</v>
      </c>
      <c r="E11" t="s">
        <v>67</v>
      </c>
      <c r="F11" t="s">
        <v>62</v>
      </c>
      <c r="G11" t="s">
        <v>64</v>
      </c>
      <c r="H11" t="s">
        <v>62</v>
      </c>
      <c r="I11" t="s">
        <v>62</v>
      </c>
      <c r="J11" t="s">
        <v>67</v>
      </c>
      <c r="K11" t="s">
        <v>62</v>
      </c>
      <c r="L11" t="s">
        <v>63</v>
      </c>
      <c r="M11" t="s">
        <v>67</v>
      </c>
      <c r="N11" t="s">
        <v>62</v>
      </c>
      <c r="O11" t="s">
        <v>63</v>
      </c>
      <c r="P11" t="s">
        <v>62</v>
      </c>
    </row>
    <row r="12" spans="1:16" ht="13" thickBot="1">
      <c r="A12" s="4">
        <f t="shared" si="0"/>
        <v>7</v>
      </c>
      <c r="B12" t="s">
        <v>63</v>
      </c>
      <c r="C12" t="s">
        <v>63</v>
      </c>
      <c r="D12" t="s">
        <v>64</v>
      </c>
      <c r="E12" t="s">
        <v>65</v>
      </c>
      <c r="F12" t="s">
        <v>67</v>
      </c>
      <c r="G12" t="s">
        <v>67</v>
      </c>
      <c r="H12" t="s">
        <v>64</v>
      </c>
      <c r="I12" t="s">
        <v>62</v>
      </c>
      <c r="J12" t="s">
        <v>67</v>
      </c>
      <c r="K12" t="s">
        <v>67</v>
      </c>
      <c r="L12" t="s">
        <v>63</v>
      </c>
      <c r="M12" t="s">
        <v>64</v>
      </c>
      <c r="N12" t="s">
        <v>67</v>
      </c>
      <c r="O12" t="s">
        <v>67</v>
      </c>
      <c r="P12" t="s">
        <v>67</v>
      </c>
    </row>
    <row r="13" spans="1:16" ht="13" thickBot="1">
      <c r="A13" s="4">
        <f t="shared" si="0"/>
        <v>8</v>
      </c>
      <c r="B13" t="s">
        <v>64</v>
      </c>
      <c r="C13" t="s">
        <v>66</v>
      </c>
      <c r="D13" t="s">
        <v>65</v>
      </c>
      <c r="E13" t="s">
        <v>65</v>
      </c>
      <c r="F13" t="s">
        <v>65</v>
      </c>
      <c r="G13" t="s">
        <v>65</v>
      </c>
      <c r="H13" t="s">
        <v>67</v>
      </c>
      <c r="I13" t="s">
        <v>63</v>
      </c>
      <c r="J13" t="s">
        <v>67</v>
      </c>
      <c r="K13" t="s">
        <v>64</v>
      </c>
      <c r="L13" t="s">
        <v>65</v>
      </c>
      <c r="M13" t="s">
        <v>63</v>
      </c>
      <c r="N13" t="s">
        <v>65</v>
      </c>
      <c r="O13" t="s">
        <v>67</v>
      </c>
      <c r="P13" t="s">
        <v>64</v>
      </c>
    </row>
    <row r="14" spans="1:16" ht="13" thickBot="1">
      <c r="A14" s="4">
        <f t="shared" si="0"/>
        <v>9</v>
      </c>
      <c r="B14" t="s">
        <v>62</v>
      </c>
      <c r="C14" t="s">
        <v>62</v>
      </c>
      <c r="D14" t="s">
        <v>64</v>
      </c>
      <c r="E14" t="s">
        <v>64</v>
      </c>
      <c r="F14" t="s">
        <v>62</v>
      </c>
      <c r="G14" t="s">
        <v>62</v>
      </c>
      <c r="H14" t="s">
        <v>62</v>
      </c>
      <c r="I14" t="s">
        <v>62</v>
      </c>
      <c r="J14" t="s">
        <v>64</v>
      </c>
      <c r="K14" t="s">
        <v>63</v>
      </c>
      <c r="L14" t="s">
        <v>63</v>
      </c>
      <c r="M14" t="s">
        <v>63</v>
      </c>
      <c r="N14" t="s">
        <v>62</v>
      </c>
      <c r="O14" t="s">
        <v>65</v>
      </c>
      <c r="P14" t="s">
        <v>65</v>
      </c>
    </row>
    <row r="15" spans="1:16" ht="13" thickBot="1">
      <c r="A15" s="4">
        <f t="shared" si="0"/>
        <v>10</v>
      </c>
      <c r="B15" t="s">
        <v>63</v>
      </c>
      <c r="C15" t="s">
        <v>65</v>
      </c>
      <c r="D15" t="s">
        <v>64</v>
      </c>
      <c r="E15" t="s">
        <v>65</v>
      </c>
      <c r="F15" t="s">
        <v>62</v>
      </c>
      <c r="G15" t="s">
        <v>66</v>
      </c>
      <c r="H15" t="s">
        <v>64</v>
      </c>
      <c r="I15" t="s">
        <v>64</v>
      </c>
      <c r="J15" t="s">
        <v>65</v>
      </c>
      <c r="K15" t="s">
        <v>64</v>
      </c>
      <c r="L15" t="s">
        <v>63</v>
      </c>
      <c r="M15" t="s">
        <v>62</v>
      </c>
      <c r="N15" t="s">
        <v>65</v>
      </c>
      <c r="O15" t="s">
        <v>65</v>
      </c>
      <c r="P15" t="s">
        <v>63</v>
      </c>
    </row>
    <row r="16" spans="1:16" ht="13" thickBot="1">
      <c r="A16" s="4">
        <f t="shared" si="0"/>
        <v>11</v>
      </c>
      <c r="B16" t="s">
        <v>62</v>
      </c>
      <c r="C16" t="s">
        <v>62</v>
      </c>
      <c r="D16" t="s">
        <v>64</v>
      </c>
      <c r="E16" t="s">
        <v>64</v>
      </c>
      <c r="F16" t="s">
        <v>62</v>
      </c>
      <c r="G16" t="s">
        <v>63</v>
      </c>
      <c r="H16" t="s">
        <v>62</v>
      </c>
      <c r="I16" t="s">
        <v>62</v>
      </c>
      <c r="J16" t="s">
        <v>62</v>
      </c>
      <c r="K16" t="s">
        <v>62</v>
      </c>
      <c r="L16" t="s">
        <v>62</v>
      </c>
      <c r="M16" t="s">
        <v>62</v>
      </c>
      <c r="N16" t="s">
        <v>62</v>
      </c>
      <c r="O16" t="s">
        <v>64</v>
      </c>
      <c r="P16" t="s">
        <v>65</v>
      </c>
    </row>
    <row r="17" spans="1:16" ht="13" thickBot="1">
      <c r="A17" s="4">
        <f t="shared" si="0"/>
        <v>12</v>
      </c>
      <c r="B17" t="s">
        <v>66</v>
      </c>
      <c r="C17" t="s">
        <v>66</v>
      </c>
      <c r="D17" t="s">
        <v>66</v>
      </c>
      <c r="E17" t="s">
        <v>67</v>
      </c>
      <c r="F17" t="s">
        <v>66</v>
      </c>
      <c r="G17" t="s">
        <v>65</v>
      </c>
      <c r="H17" t="s">
        <v>66</v>
      </c>
      <c r="I17" t="s">
        <v>63</v>
      </c>
      <c r="J17" t="s">
        <v>66</v>
      </c>
      <c r="K17" t="s">
        <v>66</v>
      </c>
      <c r="L17" t="s">
        <v>64</v>
      </c>
      <c r="M17" t="s">
        <v>67</v>
      </c>
      <c r="N17" t="s">
        <v>66</v>
      </c>
      <c r="O17" t="s">
        <v>66</v>
      </c>
      <c r="P17" t="s">
        <v>66</v>
      </c>
    </row>
    <row r="18" spans="1:16" ht="13" thickBot="1">
      <c r="A18" s="4">
        <f t="shared" si="0"/>
        <v>13</v>
      </c>
      <c r="B18" t="s">
        <v>62</v>
      </c>
      <c r="C18" t="s">
        <v>62</v>
      </c>
      <c r="D18" t="s">
        <v>62</v>
      </c>
      <c r="E18" t="s">
        <v>62</v>
      </c>
      <c r="F18" t="s">
        <v>62</v>
      </c>
      <c r="G18" t="s">
        <v>63</v>
      </c>
      <c r="H18" t="s">
        <v>62</v>
      </c>
      <c r="I18" t="s">
        <v>62</v>
      </c>
      <c r="J18" t="s">
        <v>63</v>
      </c>
      <c r="K18" t="s">
        <v>63</v>
      </c>
      <c r="L18" t="s">
        <v>64</v>
      </c>
      <c r="M18" t="s">
        <v>67</v>
      </c>
      <c r="N18" t="s">
        <v>64</v>
      </c>
      <c r="O18" t="s">
        <v>62</v>
      </c>
      <c r="P18" t="s">
        <v>67</v>
      </c>
    </row>
    <row r="19" spans="1:16" ht="13" thickBot="1">
      <c r="A19" s="4">
        <f t="shared" si="0"/>
        <v>14</v>
      </c>
      <c r="B19" t="s">
        <v>67</v>
      </c>
      <c r="C19" t="s">
        <v>64</v>
      </c>
      <c r="D19" t="s">
        <v>64</v>
      </c>
      <c r="E19" t="s">
        <v>64</v>
      </c>
      <c r="F19" t="s">
        <v>64</v>
      </c>
      <c r="G19" t="s">
        <v>64</v>
      </c>
      <c r="H19" t="s">
        <v>64</v>
      </c>
      <c r="I19" t="s">
        <v>67</v>
      </c>
      <c r="J19" t="s">
        <v>65</v>
      </c>
      <c r="K19" t="s">
        <v>65</v>
      </c>
      <c r="L19" t="s">
        <v>65</v>
      </c>
      <c r="M19" t="s">
        <v>65</v>
      </c>
      <c r="N19" t="s">
        <v>65</v>
      </c>
      <c r="O19" t="s">
        <v>65</v>
      </c>
      <c r="P19" t="s">
        <v>65</v>
      </c>
    </row>
    <row r="20" spans="1:16" ht="13" thickBot="1">
      <c r="A20" s="4">
        <f t="shared" si="0"/>
        <v>15</v>
      </c>
      <c r="B20" t="s">
        <v>62</v>
      </c>
      <c r="C20" t="s">
        <v>62</v>
      </c>
      <c r="D20" t="s">
        <v>64</v>
      </c>
      <c r="E20" t="s">
        <v>65</v>
      </c>
      <c r="F20" t="s">
        <v>62</v>
      </c>
      <c r="G20" t="s">
        <v>62</v>
      </c>
      <c r="H20" t="s">
        <v>62</v>
      </c>
      <c r="I20" t="s">
        <v>62</v>
      </c>
      <c r="J20" t="s">
        <v>65</v>
      </c>
      <c r="K20" t="s">
        <v>63</v>
      </c>
      <c r="L20" t="s">
        <v>63</v>
      </c>
      <c r="M20" t="s">
        <v>64</v>
      </c>
      <c r="N20" t="s">
        <v>62</v>
      </c>
      <c r="O20" t="s">
        <v>64</v>
      </c>
      <c r="P20" t="s">
        <v>65</v>
      </c>
    </row>
    <row r="21" spans="1:16" ht="13" thickBot="1">
      <c r="A21" s="4">
        <f t="shared" si="0"/>
        <v>16</v>
      </c>
      <c r="B21" t="s">
        <v>62</v>
      </c>
      <c r="C21" t="s">
        <v>62</v>
      </c>
      <c r="D21" t="s">
        <v>64</v>
      </c>
      <c r="E21" t="s">
        <v>64</v>
      </c>
      <c r="F21" t="s">
        <v>67</v>
      </c>
      <c r="G21" t="s">
        <v>67</v>
      </c>
      <c r="H21" t="s">
        <v>62</v>
      </c>
      <c r="I21" t="s">
        <v>67</v>
      </c>
      <c r="J21" t="s">
        <v>62</v>
      </c>
      <c r="K21" t="s">
        <v>65</v>
      </c>
      <c r="L21" t="s">
        <v>63</v>
      </c>
      <c r="M21" t="s">
        <v>63</v>
      </c>
      <c r="N21" t="s">
        <v>62</v>
      </c>
      <c r="O21" t="s">
        <v>67</v>
      </c>
      <c r="P21" t="s">
        <v>62</v>
      </c>
    </row>
    <row r="22" spans="1:16" ht="13" thickBot="1">
      <c r="A22" s="4">
        <f t="shared" si="0"/>
        <v>17</v>
      </c>
      <c r="B22" t="s">
        <v>63</v>
      </c>
      <c r="C22" t="s">
        <v>64</v>
      </c>
      <c r="D22" t="s">
        <v>64</v>
      </c>
      <c r="E22" t="s">
        <v>64</v>
      </c>
      <c r="F22" t="s">
        <v>64</v>
      </c>
      <c r="G22" t="s">
        <v>65</v>
      </c>
      <c r="H22" t="s">
        <v>64</v>
      </c>
      <c r="I22" t="s">
        <v>64</v>
      </c>
      <c r="J22" t="s">
        <v>65</v>
      </c>
      <c r="K22" t="s">
        <v>64</v>
      </c>
      <c r="L22" t="s">
        <v>65</v>
      </c>
      <c r="M22" t="s">
        <v>64</v>
      </c>
      <c r="N22" t="s">
        <v>65</v>
      </c>
      <c r="O22" t="s">
        <v>64</v>
      </c>
      <c r="P22" t="s">
        <v>65</v>
      </c>
    </row>
    <row r="23" spans="1:16" ht="13" thickBot="1">
      <c r="A23" s="4">
        <f t="shared" si="0"/>
        <v>18</v>
      </c>
      <c r="B23" t="s">
        <v>63</v>
      </c>
      <c r="C23" t="s">
        <v>65</v>
      </c>
      <c r="D23" t="s">
        <v>65</v>
      </c>
      <c r="E23" t="s">
        <v>64</v>
      </c>
      <c r="F23" t="s">
        <v>62</v>
      </c>
      <c r="G23" t="s">
        <v>62</v>
      </c>
      <c r="H23" t="s">
        <v>62</v>
      </c>
      <c r="I23" t="s">
        <v>62</v>
      </c>
      <c r="J23" t="s">
        <v>63</v>
      </c>
      <c r="K23" t="s">
        <v>64</v>
      </c>
      <c r="L23" t="s">
        <v>65</v>
      </c>
      <c r="M23" t="s">
        <v>63</v>
      </c>
      <c r="N23" t="s">
        <v>62</v>
      </c>
      <c r="O23" t="s">
        <v>67</v>
      </c>
      <c r="P23" t="s">
        <v>67</v>
      </c>
    </row>
    <row r="24" spans="1:16" ht="13" thickBot="1">
      <c r="A24" s="4">
        <f t="shared" si="0"/>
        <v>19</v>
      </c>
      <c r="B24" t="s">
        <v>64</v>
      </c>
      <c r="C24" t="s">
        <v>64</v>
      </c>
      <c r="D24" t="s">
        <v>64</v>
      </c>
      <c r="E24" t="s">
        <v>63</v>
      </c>
      <c r="F24" t="s">
        <v>64</v>
      </c>
      <c r="G24" t="s">
        <v>65</v>
      </c>
      <c r="H24" t="s">
        <v>66</v>
      </c>
      <c r="I24" t="s">
        <v>62</v>
      </c>
      <c r="J24" t="s">
        <v>63</v>
      </c>
      <c r="K24" t="s">
        <v>64</v>
      </c>
      <c r="L24" t="s">
        <v>62</v>
      </c>
      <c r="M24" t="s">
        <v>62</v>
      </c>
      <c r="N24" t="s">
        <v>67</v>
      </c>
      <c r="O24" t="s">
        <v>63</v>
      </c>
      <c r="P24" t="s">
        <v>64</v>
      </c>
    </row>
    <row r="25" spans="1:16" ht="13" thickBot="1">
      <c r="A25" s="4">
        <f t="shared" si="0"/>
        <v>20</v>
      </c>
      <c r="B25" t="s">
        <v>62</v>
      </c>
      <c r="C25" t="s">
        <v>62</v>
      </c>
      <c r="D25" t="s">
        <v>63</v>
      </c>
      <c r="E25" t="s">
        <v>63</v>
      </c>
      <c r="F25" t="s">
        <v>63</v>
      </c>
      <c r="G25" t="s">
        <v>64</v>
      </c>
      <c r="H25" t="s">
        <v>62</v>
      </c>
      <c r="I25" t="s">
        <v>62</v>
      </c>
      <c r="J25" t="s">
        <v>64</v>
      </c>
      <c r="K25" t="s">
        <v>64</v>
      </c>
      <c r="L25" t="s">
        <v>65</v>
      </c>
      <c r="M25" t="s">
        <v>65</v>
      </c>
      <c r="N25" t="s">
        <v>64</v>
      </c>
      <c r="O25" t="s">
        <v>65</v>
      </c>
      <c r="P25" t="s">
        <v>63</v>
      </c>
    </row>
    <row r="26" spans="1:16" ht="13" thickBot="1">
      <c r="A26" s="4">
        <v>21</v>
      </c>
      <c r="B26" t="s">
        <v>62</v>
      </c>
      <c r="C26" t="s">
        <v>62</v>
      </c>
      <c r="D26" t="s">
        <v>62</v>
      </c>
      <c r="E26" t="s">
        <v>64</v>
      </c>
      <c r="F26" t="s">
        <v>64</v>
      </c>
      <c r="G26" t="s">
        <v>67</v>
      </c>
      <c r="H26" t="s">
        <v>62</v>
      </c>
      <c r="I26" t="s">
        <v>62</v>
      </c>
      <c r="J26" t="s">
        <v>62</v>
      </c>
      <c r="K26" t="s">
        <v>63</v>
      </c>
      <c r="L26" t="s">
        <v>65</v>
      </c>
      <c r="M26" t="s">
        <v>62</v>
      </c>
      <c r="N26" t="s">
        <v>62</v>
      </c>
      <c r="O26" t="s">
        <v>67</v>
      </c>
      <c r="P26" t="s">
        <v>64</v>
      </c>
    </row>
    <row r="27" spans="1:16" ht="13" thickBot="1">
      <c r="A27" s="4"/>
      <c r="B27"/>
      <c r="C27"/>
      <c r="D27"/>
      <c r="E27"/>
      <c r="F27"/>
      <c r="G27"/>
      <c r="H27"/>
      <c r="I27"/>
      <c r="J27"/>
      <c r="K27"/>
      <c r="L27"/>
      <c r="M27"/>
      <c r="N27"/>
      <c r="O27"/>
      <c r="P27"/>
    </row>
    <row r="28" spans="1:16">
      <c r="A28" s="9"/>
      <c r="B28" s="16"/>
      <c r="C28" s="16"/>
      <c r="D28" s="16"/>
      <c r="E28" s="16"/>
      <c r="F28" s="16"/>
      <c r="G28" s="16"/>
      <c r="H28" s="16"/>
      <c r="I28" s="16"/>
      <c r="J28" s="16"/>
      <c r="K28" s="16"/>
      <c r="L28" s="16"/>
      <c r="M28" s="16"/>
      <c r="N28" s="16"/>
      <c r="O28" s="16"/>
      <c r="P28" s="16"/>
    </row>
    <row r="29" spans="1:16">
      <c r="A29" s="9">
        <v>0</v>
      </c>
      <c r="B29" s="1">
        <f>COUNTIF(B$6:B$27,"I don't know")</f>
        <v>1</v>
      </c>
      <c r="C29" s="1">
        <f t="shared" ref="C29:P29" si="1">COUNTIF(C$6:C$27,"I don't know")</f>
        <v>0</v>
      </c>
      <c r="D29" s="1">
        <f t="shared" si="1"/>
        <v>0</v>
      </c>
      <c r="E29" s="1">
        <f t="shared" si="1"/>
        <v>2</v>
      </c>
      <c r="F29" s="1">
        <f t="shared" si="1"/>
        <v>2</v>
      </c>
      <c r="G29" s="1">
        <f t="shared" si="1"/>
        <v>4</v>
      </c>
      <c r="H29" s="1">
        <f t="shared" si="1"/>
        <v>1</v>
      </c>
      <c r="I29" s="1">
        <f t="shared" si="1"/>
        <v>3</v>
      </c>
      <c r="J29" s="1">
        <f t="shared" si="1"/>
        <v>3</v>
      </c>
      <c r="K29" s="1">
        <f t="shared" si="1"/>
        <v>1</v>
      </c>
      <c r="L29" s="1">
        <f t="shared" si="1"/>
        <v>1</v>
      </c>
      <c r="M29" s="1">
        <f t="shared" si="1"/>
        <v>3</v>
      </c>
      <c r="N29" s="1">
        <f t="shared" si="1"/>
        <v>2</v>
      </c>
      <c r="O29" s="1">
        <f t="shared" si="1"/>
        <v>5</v>
      </c>
      <c r="P29" s="1">
        <f t="shared" si="1"/>
        <v>3</v>
      </c>
    </row>
    <row r="30" spans="1:16">
      <c r="A30" s="10">
        <v>1</v>
      </c>
      <c r="B30" s="1">
        <f>COUNTIF(B$6:B$27,"1 - Always")</f>
        <v>1</v>
      </c>
      <c r="C30" s="1">
        <f t="shared" ref="C30:P30" si="2">COUNTIF(C$6:C$27,"1 - Always")</f>
        <v>2</v>
      </c>
      <c r="D30" s="1">
        <f t="shared" si="2"/>
        <v>2</v>
      </c>
      <c r="E30" s="1">
        <f t="shared" si="2"/>
        <v>1</v>
      </c>
      <c r="F30" s="1">
        <f t="shared" si="2"/>
        <v>1</v>
      </c>
      <c r="G30" s="1">
        <f t="shared" si="2"/>
        <v>1</v>
      </c>
      <c r="H30" s="1">
        <f t="shared" si="2"/>
        <v>2</v>
      </c>
      <c r="I30" s="1">
        <f t="shared" si="2"/>
        <v>0</v>
      </c>
      <c r="J30" s="1">
        <f t="shared" si="2"/>
        <v>2</v>
      </c>
      <c r="K30" s="1">
        <f t="shared" si="2"/>
        <v>2</v>
      </c>
      <c r="L30" s="1">
        <f t="shared" si="2"/>
        <v>0</v>
      </c>
      <c r="M30" s="1">
        <f t="shared" si="2"/>
        <v>0</v>
      </c>
      <c r="N30" s="1">
        <f t="shared" si="2"/>
        <v>1</v>
      </c>
      <c r="O30" s="1">
        <f t="shared" si="2"/>
        <v>2</v>
      </c>
      <c r="P30" s="1">
        <f t="shared" si="2"/>
        <v>1</v>
      </c>
    </row>
    <row r="31" spans="1:16">
      <c r="A31" s="7">
        <v>2</v>
      </c>
      <c r="B31" s="1">
        <f>COUNTIF(B$6:B$27,"2 - Often")</f>
        <v>0</v>
      </c>
      <c r="C31" s="1">
        <f t="shared" ref="C31:P31" si="3">COUNTIF(C$6:C$27,"2 - Often")</f>
        <v>2</v>
      </c>
      <c r="D31" s="1">
        <f t="shared" si="3"/>
        <v>2</v>
      </c>
      <c r="E31" s="1">
        <f t="shared" si="3"/>
        <v>4</v>
      </c>
      <c r="F31" s="1">
        <f t="shared" si="3"/>
        <v>1</v>
      </c>
      <c r="G31" s="1">
        <f t="shared" si="3"/>
        <v>5</v>
      </c>
      <c r="H31" s="1">
        <f t="shared" si="3"/>
        <v>0</v>
      </c>
      <c r="I31" s="1">
        <f t="shared" si="3"/>
        <v>1</v>
      </c>
      <c r="J31" s="1">
        <f t="shared" si="3"/>
        <v>5</v>
      </c>
      <c r="K31" s="1">
        <f t="shared" si="3"/>
        <v>2</v>
      </c>
      <c r="L31" s="1">
        <f t="shared" si="3"/>
        <v>7</v>
      </c>
      <c r="M31" s="1">
        <f t="shared" si="3"/>
        <v>2</v>
      </c>
      <c r="N31" s="1">
        <f t="shared" si="3"/>
        <v>6</v>
      </c>
      <c r="O31" s="1">
        <f t="shared" si="3"/>
        <v>5</v>
      </c>
      <c r="P31" s="1">
        <f t="shared" si="3"/>
        <v>7</v>
      </c>
    </row>
    <row r="32" spans="1:16">
      <c r="A32" s="7">
        <v>3</v>
      </c>
      <c r="B32" s="1">
        <f>COUNTIF(B$6:B$27,"3 - Sometimes")</f>
        <v>2</v>
      </c>
      <c r="C32" s="1">
        <f t="shared" ref="C32:P32" si="4">COUNTIF(C$6:C$27,"3 - Sometimes")</f>
        <v>3</v>
      </c>
      <c r="D32" s="1">
        <f t="shared" si="4"/>
        <v>12</v>
      </c>
      <c r="E32" s="1">
        <f t="shared" si="4"/>
        <v>8</v>
      </c>
      <c r="F32" s="1">
        <f t="shared" si="4"/>
        <v>6</v>
      </c>
      <c r="G32" s="1">
        <f t="shared" si="4"/>
        <v>4</v>
      </c>
      <c r="H32" s="1">
        <f t="shared" si="4"/>
        <v>5</v>
      </c>
      <c r="I32" s="1">
        <f t="shared" si="4"/>
        <v>2</v>
      </c>
      <c r="J32" s="1">
        <f t="shared" si="4"/>
        <v>3</v>
      </c>
      <c r="K32" s="1">
        <f t="shared" si="4"/>
        <v>7</v>
      </c>
      <c r="L32" s="1">
        <f t="shared" si="4"/>
        <v>4</v>
      </c>
      <c r="M32" s="1">
        <f t="shared" si="4"/>
        <v>3</v>
      </c>
      <c r="N32" s="1">
        <f t="shared" si="4"/>
        <v>2</v>
      </c>
      <c r="O32" s="1">
        <f t="shared" si="4"/>
        <v>4</v>
      </c>
      <c r="P32" s="1">
        <f t="shared" si="4"/>
        <v>4</v>
      </c>
    </row>
    <row r="33" spans="1:20">
      <c r="A33" s="7">
        <v>4</v>
      </c>
      <c r="B33" s="1">
        <f>COUNTIF(B$6:B$27,"4 - Rarely")</f>
        <v>6</v>
      </c>
      <c r="C33" s="1">
        <f t="shared" ref="C33:P33" si="5">COUNTIF(C$6:C$27,"4 - Rarely")</f>
        <v>2</v>
      </c>
      <c r="D33" s="1">
        <f t="shared" si="5"/>
        <v>1</v>
      </c>
      <c r="E33" s="1">
        <f t="shared" si="5"/>
        <v>3</v>
      </c>
      <c r="F33" s="1">
        <f t="shared" si="5"/>
        <v>2</v>
      </c>
      <c r="G33" s="1">
        <f t="shared" si="5"/>
        <v>2</v>
      </c>
      <c r="H33" s="1">
        <f t="shared" si="5"/>
        <v>0</v>
      </c>
      <c r="I33" s="1">
        <f t="shared" si="5"/>
        <v>3</v>
      </c>
      <c r="J33" s="1">
        <f t="shared" si="5"/>
        <v>4</v>
      </c>
      <c r="K33" s="1">
        <f t="shared" si="5"/>
        <v>5</v>
      </c>
      <c r="L33" s="1">
        <f t="shared" si="5"/>
        <v>7</v>
      </c>
      <c r="M33" s="1">
        <f t="shared" si="5"/>
        <v>7</v>
      </c>
      <c r="N33" s="1">
        <f t="shared" si="5"/>
        <v>2</v>
      </c>
      <c r="O33" s="1">
        <f t="shared" si="5"/>
        <v>3</v>
      </c>
      <c r="P33" s="1">
        <f t="shared" si="5"/>
        <v>4</v>
      </c>
    </row>
    <row r="34" spans="1:20">
      <c r="A34" s="7">
        <v>5</v>
      </c>
      <c r="B34" s="1">
        <f>COUNTIF(B$6:B$27,"5 - Never")</f>
        <v>11</v>
      </c>
      <c r="C34" s="1">
        <f t="shared" ref="C34:P34" si="6">COUNTIF(C$6:C$27,"5 - Never")</f>
        <v>12</v>
      </c>
      <c r="D34" s="1">
        <f t="shared" si="6"/>
        <v>4</v>
      </c>
      <c r="E34" s="1">
        <f t="shared" si="6"/>
        <v>3</v>
      </c>
      <c r="F34" s="1">
        <f t="shared" si="6"/>
        <v>9</v>
      </c>
      <c r="G34" s="1">
        <f t="shared" si="6"/>
        <v>5</v>
      </c>
      <c r="H34" s="1">
        <f t="shared" si="6"/>
        <v>13</v>
      </c>
      <c r="I34" s="1">
        <f t="shared" si="6"/>
        <v>12</v>
      </c>
      <c r="J34" s="1">
        <f t="shared" si="6"/>
        <v>4</v>
      </c>
      <c r="K34" s="1">
        <f t="shared" si="6"/>
        <v>4</v>
      </c>
      <c r="L34" s="1">
        <f t="shared" si="6"/>
        <v>2</v>
      </c>
      <c r="M34" s="1">
        <f t="shared" si="6"/>
        <v>6</v>
      </c>
      <c r="N34" s="1">
        <f t="shared" si="6"/>
        <v>8</v>
      </c>
      <c r="O34" s="1">
        <f t="shared" si="6"/>
        <v>2</v>
      </c>
      <c r="P34" s="1">
        <f t="shared" si="6"/>
        <v>2</v>
      </c>
    </row>
    <row r="35" spans="1:20">
      <c r="A35" s="7" t="s">
        <v>36</v>
      </c>
      <c r="B35" s="11"/>
    </row>
    <row r="36" spans="1:20">
      <c r="A36" s="7" t="s">
        <v>37</v>
      </c>
      <c r="B36" s="11"/>
    </row>
    <row r="37" spans="1:20">
      <c r="B37" s="11">
        <v>1</v>
      </c>
      <c r="C37" s="1">
        <v>0</v>
      </c>
      <c r="D37" s="1">
        <v>0</v>
      </c>
      <c r="E37" s="1">
        <v>2</v>
      </c>
      <c r="F37" s="1">
        <v>2</v>
      </c>
      <c r="G37" s="1">
        <v>4</v>
      </c>
      <c r="H37" s="1">
        <v>1</v>
      </c>
      <c r="I37" s="1">
        <v>3</v>
      </c>
      <c r="J37" s="1">
        <v>3</v>
      </c>
      <c r="K37" s="1">
        <v>1</v>
      </c>
      <c r="L37" s="1">
        <v>1</v>
      </c>
      <c r="M37" s="1">
        <v>3</v>
      </c>
      <c r="N37" s="1">
        <v>2</v>
      </c>
      <c r="O37" s="1">
        <v>5</v>
      </c>
      <c r="P37" s="1">
        <v>3</v>
      </c>
    </row>
    <row r="38" spans="1:20">
      <c r="B38" s="11">
        <v>1</v>
      </c>
      <c r="C38" s="1">
        <v>2</v>
      </c>
      <c r="D38" s="1">
        <v>2</v>
      </c>
      <c r="E38" s="1">
        <v>1</v>
      </c>
      <c r="F38" s="1">
        <v>1</v>
      </c>
      <c r="G38" s="1">
        <v>1</v>
      </c>
      <c r="H38" s="1">
        <v>2</v>
      </c>
      <c r="I38" s="1">
        <v>0</v>
      </c>
      <c r="J38" s="1">
        <v>2</v>
      </c>
      <c r="K38" s="1">
        <v>2</v>
      </c>
      <c r="L38" s="1">
        <v>0</v>
      </c>
      <c r="M38" s="1">
        <v>0</v>
      </c>
      <c r="N38" s="1">
        <v>1</v>
      </c>
      <c r="O38" s="1">
        <v>2</v>
      </c>
      <c r="P38" s="1">
        <v>1</v>
      </c>
    </row>
    <row r="39" spans="1:20">
      <c r="B39" s="11">
        <v>0</v>
      </c>
      <c r="C39" s="1">
        <v>2</v>
      </c>
      <c r="D39" s="1">
        <v>2</v>
      </c>
      <c r="E39" s="1">
        <v>4</v>
      </c>
      <c r="F39" s="1">
        <v>1</v>
      </c>
      <c r="G39" s="1">
        <v>5</v>
      </c>
      <c r="H39" s="1">
        <v>0</v>
      </c>
      <c r="I39" s="1">
        <v>1</v>
      </c>
      <c r="J39" s="1">
        <v>5</v>
      </c>
      <c r="K39" s="1">
        <v>2</v>
      </c>
      <c r="L39" s="1">
        <v>7</v>
      </c>
      <c r="M39" s="1">
        <v>2</v>
      </c>
      <c r="N39" s="1">
        <v>6</v>
      </c>
      <c r="O39" s="1">
        <v>5</v>
      </c>
      <c r="P39" s="1">
        <v>7</v>
      </c>
    </row>
    <row r="40" spans="1:20">
      <c r="B40" s="11">
        <v>2</v>
      </c>
      <c r="C40" s="1">
        <v>3</v>
      </c>
      <c r="D40" s="1">
        <v>12</v>
      </c>
      <c r="E40" s="1">
        <v>8</v>
      </c>
      <c r="F40" s="1">
        <v>6</v>
      </c>
      <c r="G40" s="1">
        <v>4</v>
      </c>
      <c r="H40" s="1">
        <v>5</v>
      </c>
      <c r="I40" s="1">
        <v>2</v>
      </c>
      <c r="J40" s="1">
        <v>3</v>
      </c>
      <c r="K40" s="1">
        <v>7</v>
      </c>
      <c r="L40" s="1">
        <v>4</v>
      </c>
      <c r="M40" s="1">
        <v>3</v>
      </c>
      <c r="N40" s="1">
        <v>2</v>
      </c>
      <c r="O40" s="1">
        <v>4</v>
      </c>
      <c r="P40" s="1">
        <v>4</v>
      </c>
    </row>
    <row r="41" spans="1:20">
      <c r="B41" s="11">
        <v>6</v>
      </c>
      <c r="C41" s="1">
        <v>2</v>
      </c>
      <c r="D41" s="1">
        <v>1</v>
      </c>
      <c r="E41" s="1">
        <v>3</v>
      </c>
      <c r="F41" s="1">
        <v>2</v>
      </c>
      <c r="G41" s="1">
        <v>2</v>
      </c>
      <c r="H41" s="1">
        <v>0</v>
      </c>
      <c r="I41" s="1">
        <v>3</v>
      </c>
      <c r="J41" s="1">
        <v>4</v>
      </c>
      <c r="K41" s="1">
        <v>5</v>
      </c>
      <c r="L41" s="1">
        <v>7</v>
      </c>
      <c r="M41" s="1">
        <v>7</v>
      </c>
      <c r="N41" s="1">
        <v>2</v>
      </c>
      <c r="O41" s="1">
        <v>3</v>
      </c>
      <c r="P41" s="1">
        <v>4</v>
      </c>
    </row>
    <row r="42" spans="1:20">
      <c r="B42" s="11">
        <v>11</v>
      </c>
      <c r="C42" s="1">
        <v>12</v>
      </c>
      <c r="D42" s="1">
        <v>4</v>
      </c>
      <c r="E42" s="1">
        <v>3</v>
      </c>
      <c r="F42" s="1">
        <v>9</v>
      </c>
      <c r="G42" s="1">
        <v>5</v>
      </c>
      <c r="H42" s="1">
        <v>13</v>
      </c>
      <c r="I42" s="1">
        <v>12</v>
      </c>
      <c r="J42" s="1">
        <v>4</v>
      </c>
      <c r="K42" s="1">
        <v>4</v>
      </c>
      <c r="L42" s="1">
        <v>2</v>
      </c>
      <c r="M42" s="1">
        <v>6</v>
      </c>
      <c r="N42" s="1">
        <v>8</v>
      </c>
      <c r="O42" s="1">
        <v>2</v>
      </c>
      <c r="P42" s="1">
        <v>2</v>
      </c>
    </row>
    <row r="43" spans="1:20">
      <c r="B43" s="11"/>
    </row>
    <row r="44" spans="1:20">
      <c r="B44" s="11"/>
    </row>
    <row r="45" spans="1:20">
      <c r="A45" s="32"/>
      <c r="B45" s="33"/>
      <c r="C45" s="20"/>
      <c r="D45" s="34"/>
      <c r="E45" s="20"/>
      <c r="F45" s="20"/>
      <c r="G45" s="20"/>
      <c r="H45" s="20"/>
      <c r="I45" s="20"/>
      <c r="J45" s="20"/>
      <c r="L45" s="20" t="s">
        <v>60</v>
      </c>
      <c r="M45" s="20" t="s">
        <v>81</v>
      </c>
      <c r="N45" s="20"/>
      <c r="O45" s="20"/>
      <c r="P45" s="20"/>
      <c r="Q45" s="21"/>
      <c r="R45" s="21" t="s">
        <v>82</v>
      </c>
      <c r="S45" s="21" t="s">
        <v>83</v>
      </c>
      <c r="T45" s="21" t="s">
        <v>84</v>
      </c>
    </row>
    <row r="46" spans="1:20" ht="14.5">
      <c r="A46" s="32"/>
      <c r="B46" s="33"/>
      <c r="C46" s="20"/>
      <c r="D46" s="35"/>
      <c r="E46" s="36"/>
      <c r="F46" s="20"/>
      <c r="G46" s="20"/>
      <c r="H46" s="20"/>
      <c r="I46" s="20"/>
      <c r="J46" s="20"/>
      <c r="L46" s="20" t="s">
        <v>95</v>
      </c>
      <c r="M46" s="29" t="s">
        <v>70</v>
      </c>
      <c r="N46" s="30"/>
      <c r="O46" s="30"/>
      <c r="P46" s="30"/>
      <c r="Q46" s="30"/>
      <c r="R46" s="21">
        <v>3</v>
      </c>
      <c r="S46" s="21">
        <v>12</v>
      </c>
      <c r="T46" s="31">
        <f t="shared" ref="T46:T60" si="7">R46-S46</f>
        <v>-9</v>
      </c>
    </row>
    <row r="47" spans="1:20" ht="14.5">
      <c r="A47" s="32"/>
      <c r="B47" s="33"/>
      <c r="C47" s="20"/>
      <c r="D47" s="35"/>
      <c r="E47" s="36"/>
      <c r="F47" s="20"/>
      <c r="G47" s="20"/>
      <c r="H47" s="20"/>
      <c r="I47" s="20"/>
      <c r="J47" s="20"/>
      <c r="L47" s="20" t="s">
        <v>90</v>
      </c>
      <c r="M47" s="25" t="s">
        <v>71</v>
      </c>
      <c r="N47" s="26"/>
      <c r="O47" s="26"/>
      <c r="P47" s="26"/>
      <c r="Q47" s="26"/>
      <c r="R47" s="21">
        <v>1</v>
      </c>
      <c r="S47" s="21">
        <v>7</v>
      </c>
      <c r="T47" s="31">
        <f t="shared" si="7"/>
        <v>-6</v>
      </c>
    </row>
    <row r="48" spans="1:20" ht="14.5">
      <c r="A48" s="32"/>
      <c r="B48" s="33"/>
      <c r="C48" s="20"/>
      <c r="D48" s="20"/>
      <c r="E48" s="36"/>
      <c r="F48" s="20"/>
      <c r="G48" s="20"/>
      <c r="H48" s="20"/>
      <c r="I48" s="20"/>
      <c r="J48" s="20"/>
      <c r="L48" s="20" t="s">
        <v>96</v>
      </c>
      <c r="M48" s="29" t="s">
        <v>80</v>
      </c>
      <c r="N48" s="30"/>
      <c r="O48" s="30"/>
      <c r="P48" s="30"/>
      <c r="Q48" s="30"/>
      <c r="R48" s="21">
        <v>7</v>
      </c>
      <c r="S48" s="21">
        <v>13</v>
      </c>
      <c r="T48" s="31">
        <f t="shared" si="7"/>
        <v>-6</v>
      </c>
    </row>
    <row r="49" spans="1:20" ht="14.5">
      <c r="A49" s="32"/>
      <c r="B49" s="33"/>
      <c r="C49" s="20"/>
      <c r="D49" s="35"/>
      <c r="E49" s="36"/>
      <c r="F49" s="20"/>
      <c r="G49" s="20"/>
      <c r="H49" s="20"/>
      <c r="I49" s="20"/>
      <c r="J49" s="20"/>
      <c r="L49" s="20" t="s">
        <v>92</v>
      </c>
      <c r="M49" s="25" t="s">
        <v>74</v>
      </c>
      <c r="N49" s="26"/>
      <c r="O49" s="26"/>
      <c r="P49" s="26"/>
      <c r="Q49" s="26"/>
      <c r="R49" s="21">
        <v>5</v>
      </c>
      <c r="S49" s="21">
        <v>9</v>
      </c>
      <c r="T49" s="31">
        <f t="shared" si="7"/>
        <v>-4</v>
      </c>
    </row>
    <row r="50" spans="1:20" ht="14.5">
      <c r="A50" s="32"/>
      <c r="B50" s="33"/>
      <c r="C50" s="20"/>
      <c r="D50" s="35"/>
      <c r="E50" s="36"/>
      <c r="F50" s="20"/>
      <c r="G50" s="20"/>
      <c r="H50" s="20"/>
      <c r="I50" s="20"/>
      <c r="J50" s="20"/>
      <c r="L50" s="20" t="s">
        <v>97</v>
      </c>
      <c r="M50" s="25" t="s">
        <v>76</v>
      </c>
      <c r="N50" s="26"/>
      <c r="O50" s="26"/>
      <c r="P50" s="26"/>
      <c r="Q50" s="26"/>
      <c r="R50" s="21">
        <v>12</v>
      </c>
      <c r="S50" s="21">
        <v>14</v>
      </c>
      <c r="T50" s="31">
        <f t="shared" si="7"/>
        <v>-2</v>
      </c>
    </row>
    <row r="51" spans="1:20" ht="14.5">
      <c r="A51" s="32"/>
      <c r="B51" s="33"/>
      <c r="C51" s="20"/>
      <c r="D51" s="20"/>
      <c r="E51" s="36"/>
      <c r="F51" s="20"/>
      <c r="G51" s="20"/>
      <c r="H51" s="20"/>
      <c r="I51" s="20"/>
      <c r="J51" s="20"/>
      <c r="L51" s="20" t="s">
        <v>87</v>
      </c>
      <c r="M51" s="28" t="s">
        <v>100</v>
      </c>
      <c r="N51" s="19"/>
      <c r="O51" s="19"/>
      <c r="P51" s="19"/>
      <c r="Q51" s="19"/>
      <c r="R51" s="21">
        <v>4</v>
      </c>
      <c r="S51" s="21">
        <v>4</v>
      </c>
      <c r="T51" s="31">
        <f t="shared" si="7"/>
        <v>0</v>
      </c>
    </row>
    <row r="52" spans="1:20" ht="14.5">
      <c r="A52" s="32"/>
      <c r="B52" s="33"/>
      <c r="C52" s="20"/>
      <c r="D52" s="20"/>
      <c r="E52" s="36"/>
      <c r="F52" s="20"/>
      <c r="G52" s="20"/>
      <c r="H52" s="20"/>
      <c r="I52" s="20"/>
      <c r="J52" s="20"/>
      <c r="L52" s="20" t="s">
        <v>98</v>
      </c>
      <c r="M52" s="25" t="s">
        <v>78</v>
      </c>
      <c r="N52" s="26"/>
      <c r="O52" s="26"/>
      <c r="P52" s="26"/>
      <c r="Q52" s="26"/>
      <c r="R52" s="21">
        <v>15</v>
      </c>
      <c r="S52" s="21">
        <v>15</v>
      </c>
      <c r="T52" s="31">
        <f t="shared" si="7"/>
        <v>0</v>
      </c>
    </row>
    <row r="53" spans="1:20" ht="14.5">
      <c r="A53" s="32"/>
      <c r="B53" s="33"/>
      <c r="C53" s="20"/>
      <c r="D53" s="20"/>
      <c r="E53" s="36"/>
      <c r="F53" s="20"/>
      <c r="G53" s="20"/>
      <c r="H53" s="20"/>
      <c r="I53" s="20"/>
      <c r="J53" s="20"/>
      <c r="L53" s="20" t="s">
        <v>79</v>
      </c>
      <c r="M53" s="24" t="s">
        <v>72</v>
      </c>
      <c r="N53" s="19"/>
      <c r="O53" s="19"/>
      <c r="P53" s="19"/>
      <c r="Q53" s="19"/>
      <c r="R53" s="21">
        <v>2</v>
      </c>
      <c r="S53" s="21">
        <v>1</v>
      </c>
      <c r="T53" s="31">
        <f t="shared" si="7"/>
        <v>1</v>
      </c>
    </row>
    <row r="54" spans="1:20" ht="14.5">
      <c r="A54" s="32"/>
      <c r="B54" s="33"/>
      <c r="C54" s="20"/>
      <c r="D54" s="20"/>
      <c r="E54" s="36"/>
      <c r="F54" s="20"/>
      <c r="G54" s="20"/>
      <c r="H54" s="20"/>
      <c r="I54" s="20"/>
      <c r="J54" s="20"/>
      <c r="L54" s="20" t="s">
        <v>88</v>
      </c>
      <c r="M54" s="25" t="s">
        <v>73</v>
      </c>
      <c r="N54" s="26"/>
      <c r="O54" s="26"/>
      <c r="P54" s="26"/>
      <c r="Q54" s="26"/>
      <c r="R54" s="21">
        <v>6</v>
      </c>
      <c r="S54" s="21">
        <v>5</v>
      </c>
      <c r="T54" s="31">
        <f t="shared" si="7"/>
        <v>1</v>
      </c>
    </row>
    <row r="55" spans="1:20" ht="14.5">
      <c r="A55" s="32"/>
      <c r="B55" s="33"/>
      <c r="C55" s="20"/>
      <c r="D55" s="20"/>
      <c r="E55" s="36"/>
      <c r="F55" s="20"/>
      <c r="G55" s="20"/>
      <c r="H55" s="20"/>
      <c r="I55" s="20"/>
      <c r="J55" s="20"/>
      <c r="L55" s="20" t="s">
        <v>91</v>
      </c>
      <c r="M55" s="29" t="s">
        <v>68</v>
      </c>
      <c r="N55" s="30"/>
      <c r="O55" s="30"/>
      <c r="P55" s="30"/>
      <c r="Q55" s="30"/>
      <c r="R55" s="21">
        <v>9</v>
      </c>
      <c r="S55" s="21">
        <v>8</v>
      </c>
      <c r="T55" s="31">
        <f t="shared" si="7"/>
        <v>1</v>
      </c>
    </row>
    <row r="56" spans="1:20" ht="14.5">
      <c r="A56" s="32"/>
      <c r="B56" s="33"/>
      <c r="C56" s="20"/>
      <c r="D56" s="20"/>
      <c r="E56" s="36"/>
      <c r="F56" s="20"/>
      <c r="G56" s="20"/>
      <c r="H56" s="20"/>
      <c r="I56" s="20"/>
      <c r="J56" s="20"/>
      <c r="L56" s="20" t="s">
        <v>93</v>
      </c>
      <c r="M56" s="25" t="s">
        <v>75</v>
      </c>
      <c r="N56" s="26"/>
      <c r="O56" s="26"/>
      <c r="P56" s="26"/>
      <c r="Q56" s="26"/>
      <c r="R56" s="21">
        <v>11</v>
      </c>
      <c r="S56" s="21">
        <v>10</v>
      </c>
      <c r="T56" s="31">
        <f t="shared" si="7"/>
        <v>1</v>
      </c>
    </row>
    <row r="57" spans="1:20" ht="14.5">
      <c r="A57" s="32"/>
      <c r="B57" s="33"/>
      <c r="C57" s="20"/>
      <c r="D57" s="35"/>
      <c r="E57" s="36"/>
      <c r="F57" s="20"/>
      <c r="G57" s="20"/>
      <c r="H57" s="20"/>
      <c r="I57" s="20"/>
      <c r="J57" s="20"/>
      <c r="L57" s="20" t="s">
        <v>94</v>
      </c>
      <c r="M57" s="27" t="s">
        <v>99</v>
      </c>
      <c r="N57" s="26"/>
      <c r="O57" s="26"/>
      <c r="P57" s="26"/>
      <c r="Q57" s="26"/>
      <c r="R57" s="21">
        <v>13</v>
      </c>
      <c r="S57" s="21">
        <v>11</v>
      </c>
      <c r="T57" s="31">
        <f t="shared" si="7"/>
        <v>2</v>
      </c>
    </row>
    <row r="58" spans="1:20" ht="14.5">
      <c r="A58" s="32"/>
      <c r="B58" s="33"/>
      <c r="C58" s="20"/>
      <c r="D58" s="20"/>
      <c r="E58" s="36"/>
      <c r="F58" s="20"/>
      <c r="G58" s="20"/>
      <c r="H58" s="20"/>
      <c r="I58" s="20"/>
      <c r="J58" s="20"/>
      <c r="L58" s="20" t="s">
        <v>86</v>
      </c>
      <c r="M58" s="28" t="s">
        <v>101</v>
      </c>
      <c r="N58" s="19"/>
      <c r="O58" s="19"/>
      <c r="P58" s="19"/>
      <c r="Q58" s="19"/>
      <c r="R58" s="21">
        <v>8</v>
      </c>
      <c r="S58" s="21">
        <v>3</v>
      </c>
      <c r="T58" s="31">
        <f t="shared" si="7"/>
        <v>5</v>
      </c>
    </row>
    <row r="59" spans="1:20" ht="14.5">
      <c r="A59" s="32"/>
      <c r="B59" s="33"/>
      <c r="C59" s="20"/>
      <c r="D59" s="20"/>
      <c r="E59" s="36"/>
      <c r="F59" s="20"/>
      <c r="G59" s="20"/>
      <c r="H59" s="20"/>
      <c r="I59" s="20"/>
      <c r="J59" s="20"/>
      <c r="L59" s="20" t="s">
        <v>85</v>
      </c>
      <c r="M59" s="25" t="s">
        <v>69</v>
      </c>
      <c r="N59" s="26"/>
      <c r="O59" s="26"/>
      <c r="P59" s="26"/>
      <c r="Q59" s="26"/>
      <c r="R59" s="21">
        <v>10</v>
      </c>
      <c r="S59" s="21">
        <v>2</v>
      </c>
      <c r="T59" s="31">
        <f t="shared" si="7"/>
        <v>8</v>
      </c>
    </row>
    <row r="60" spans="1:20" ht="14.5">
      <c r="A60" s="32"/>
      <c r="B60" s="33"/>
      <c r="C60" s="20"/>
      <c r="D60" s="20"/>
      <c r="E60" s="36"/>
      <c r="F60" s="20"/>
      <c r="G60" s="20"/>
      <c r="H60" s="20"/>
      <c r="I60" s="20"/>
      <c r="J60" s="20"/>
      <c r="L60" s="20" t="s">
        <v>89</v>
      </c>
      <c r="M60" s="24" t="s">
        <v>77</v>
      </c>
      <c r="N60" s="19"/>
      <c r="O60" s="19"/>
      <c r="P60" s="19"/>
      <c r="Q60" s="19"/>
      <c r="R60" s="21">
        <v>14</v>
      </c>
      <c r="S60" s="21">
        <v>6</v>
      </c>
      <c r="T60" s="31">
        <f t="shared" si="7"/>
        <v>8</v>
      </c>
    </row>
    <row r="61" spans="1:20">
      <c r="B61" s="11"/>
    </row>
    <row r="62" spans="1:20">
      <c r="B62" s="11"/>
    </row>
    <row r="63" spans="1:20">
      <c r="B63" s="11"/>
    </row>
    <row r="64" spans="1:20">
      <c r="B64" s="11"/>
    </row>
    <row r="65" spans="2:10">
      <c r="B65" s="11"/>
    </row>
    <row r="66" spans="2:10">
      <c r="B66" s="11"/>
      <c r="D66" s="18"/>
    </row>
    <row r="67" spans="2:10" ht="14.5">
      <c r="B67" s="11"/>
      <c r="J67" s="19"/>
    </row>
    <row r="68" spans="2:10" ht="14.5">
      <c r="B68" s="11"/>
      <c r="J68" s="19"/>
    </row>
    <row r="69" spans="2:10">
      <c r="B69" s="11"/>
    </row>
    <row r="70" spans="2:10">
      <c r="B70" s="11"/>
    </row>
    <row r="71" spans="2:10">
      <c r="B71" s="11"/>
    </row>
    <row r="72" spans="2:10">
      <c r="B72" s="11"/>
    </row>
    <row r="73" spans="2:10">
      <c r="B73" s="11"/>
    </row>
    <row r="74" spans="2:10">
      <c r="B74" s="11"/>
    </row>
    <row r="75" spans="2:10">
      <c r="B75" s="11"/>
    </row>
    <row r="76" spans="2:10">
      <c r="B76" s="11"/>
    </row>
    <row r="77" spans="2:10">
      <c r="B77" s="11"/>
    </row>
    <row r="78" spans="2:10">
      <c r="B78" s="11"/>
    </row>
    <row r="79" spans="2:10">
      <c r="B79" s="11"/>
    </row>
    <row r="80" spans="2:10">
      <c r="B80" s="11"/>
    </row>
    <row r="81" spans="2:2">
      <c r="B81" s="11"/>
    </row>
    <row r="82" spans="2:2">
      <c r="B82" s="11"/>
    </row>
    <row r="83" spans="2:2">
      <c r="B83" s="11"/>
    </row>
    <row r="84" spans="2:2">
      <c r="B84" s="11"/>
    </row>
    <row r="85" spans="2:2">
      <c r="B85" s="11"/>
    </row>
    <row r="86" spans="2:2">
      <c r="B86" s="11"/>
    </row>
    <row r="87" spans="2:2">
      <c r="B87" s="11"/>
    </row>
    <row r="88" spans="2:2">
      <c r="B88" s="11"/>
    </row>
    <row r="89" spans="2:2">
      <c r="B89" s="11"/>
    </row>
    <row r="90" spans="2:2">
      <c r="B90" s="11"/>
    </row>
    <row r="91" spans="2:2">
      <c r="B91" s="11"/>
    </row>
    <row r="92" spans="2:2">
      <c r="B92" s="11"/>
    </row>
    <row r="93" spans="2:2">
      <c r="B93" s="11"/>
    </row>
    <row r="94" spans="2:2">
      <c r="B94" s="11"/>
    </row>
    <row r="95" spans="2:2">
      <c r="B95" s="11"/>
    </row>
    <row r="96" spans="2:2">
      <c r="B96" s="11"/>
    </row>
    <row r="97" spans="2:2">
      <c r="B97" s="11"/>
    </row>
    <row r="98" spans="2:2">
      <c r="B98" s="11"/>
    </row>
    <row r="99" spans="2:2">
      <c r="B99" s="11"/>
    </row>
    <row r="100" spans="2:2">
      <c r="B100" s="11"/>
    </row>
    <row r="101" spans="2:2">
      <c r="B101" s="11"/>
    </row>
    <row r="102" spans="2:2">
      <c r="B102" s="11"/>
    </row>
    <row r="103" spans="2:2">
      <c r="B103" s="11"/>
    </row>
    <row r="104" spans="2:2">
      <c r="B104" s="11"/>
    </row>
    <row r="105" spans="2:2">
      <c r="B105" s="11"/>
    </row>
    <row r="106" spans="2:2">
      <c r="B106" s="11"/>
    </row>
    <row r="107" spans="2:2">
      <c r="B107" s="11"/>
    </row>
    <row r="108" spans="2:2">
      <c r="B108" s="11"/>
    </row>
    <row r="109" spans="2:2">
      <c r="B109" s="11"/>
    </row>
    <row r="110" spans="2:2">
      <c r="B110" s="11"/>
    </row>
    <row r="111" spans="2:2">
      <c r="B111" s="11"/>
    </row>
    <row r="112" spans="2:2">
      <c r="B112" s="11"/>
    </row>
    <row r="113" spans="2:2">
      <c r="B113" s="11"/>
    </row>
    <row r="114" spans="2:2">
      <c r="B114" s="11"/>
    </row>
    <row r="115" spans="2:2">
      <c r="B115" s="11"/>
    </row>
    <row r="116" spans="2:2">
      <c r="B116" s="11"/>
    </row>
    <row r="117" spans="2:2">
      <c r="B117" s="11"/>
    </row>
    <row r="118" spans="2:2">
      <c r="B118" s="11"/>
    </row>
    <row r="119" spans="2:2">
      <c r="B119" s="11"/>
    </row>
    <row r="120" spans="2:2">
      <c r="B120" s="11"/>
    </row>
    <row r="121" spans="2:2">
      <c r="B121" s="11"/>
    </row>
    <row r="122" spans="2:2">
      <c r="B122" s="11"/>
    </row>
    <row r="123" spans="2:2">
      <c r="B123" s="11"/>
    </row>
    <row r="124" spans="2:2">
      <c r="B124" s="11"/>
    </row>
    <row r="125" spans="2:2">
      <c r="B125" s="11"/>
    </row>
    <row r="126" spans="2:2">
      <c r="B126" s="11"/>
    </row>
    <row r="127" spans="2:2">
      <c r="B127" s="11"/>
    </row>
    <row r="128" spans="2:2">
      <c r="B128" s="11"/>
    </row>
    <row r="129" spans="2:2">
      <c r="B129" s="11"/>
    </row>
    <row r="130" spans="2:2">
      <c r="B130" s="11"/>
    </row>
    <row r="131" spans="2:2">
      <c r="B131" s="11"/>
    </row>
    <row r="132" spans="2:2">
      <c r="B132" s="11"/>
    </row>
    <row r="133" spans="2:2">
      <c r="B133" s="11"/>
    </row>
    <row r="134" spans="2:2">
      <c r="B134" s="11"/>
    </row>
    <row r="135" spans="2:2">
      <c r="B135" s="11"/>
    </row>
    <row r="136" spans="2:2">
      <c r="B136" s="11"/>
    </row>
    <row r="137" spans="2:2">
      <c r="B137" s="11"/>
    </row>
    <row r="138" spans="2:2">
      <c r="B138" s="11"/>
    </row>
    <row r="139" spans="2:2">
      <c r="B139" s="11"/>
    </row>
    <row r="140" spans="2:2">
      <c r="B140" s="11"/>
    </row>
    <row r="141" spans="2:2">
      <c r="B141" s="11"/>
    </row>
    <row r="142" spans="2:2">
      <c r="B142" s="11"/>
    </row>
    <row r="143" spans="2:2">
      <c r="B143" s="11"/>
    </row>
    <row r="144" spans="2:2">
      <c r="B144" s="11"/>
    </row>
    <row r="145" spans="2:2">
      <c r="B145" s="11"/>
    </row>
    <row r="146" spans="2:2">
      <c r="B146" s="11"/>
    </row>
    <row r="147" spans="2:2">
      <c r="B147" s="11"/>
    </row>
    <row r="148" spans="2:2">
      <c r="B148" s="11"/>
    </row>
    <row r="149" spans="2:2">
      <c r="B149" s="11"/>
    </row>
    <row r="150" spans="2:2">
      <c r="B150" s="11"/>
    </row>
    <row r="151" spans="2:2">
      <c r="B151" s="11"/>
    </row>
    <row r="152" spans="2:2">
      <c r="B152" s="11"/>
    </row>
    <row r="153" spans="2:2">
      <c r="B153" s="11"/>
    </row>
    <row r="154" spans="2:2">
      <c r="B154" s="11"/>
    </row>
    <row r="155" spans="2:2">
      <c r="B155" s="11"/>
    </row>
    <row r="156" spans="2:2">
      <c r="B156" s="11"/>
    </row>
    <row r="157" spans="2:2">
      <c r="B157" s="11"/>
    </row>
    <row r="158" spans="2:2">
      <c r="B158" s="11"/>
    </row>
    <row r="159" spans="2:2">
      <c r="B159" s="11"/>
    </row>
    <row r="160" spans="2:2">
      <c r="B160" s="11"/>
    </row>
    <row r="161" spans="2:2">
      <c r="B161" s="11"/>
    </row>
    <row r="162" spans="2:2">
      <c r="B162" s="11"/>
    </row>
    <row r="163" spans="2:2">
      <c r="B163" s="11"/>
    </row>
    <row r="164" spans="2:2">
      <c r="B164" s="11"/>
    </row>
    <row r="165" spans="2:2">
      <c r="B165" s="11"/>
    </row>
    <row r="166" spans="2:2">
      <c r="B166" s="11"/>
    </row>
    <row r="167" spans="2:2">
      <c r="B167" s="11"/>
    </row>
    <row r="168" spans="2:2">
      <c r="B168" s="11"/>
    </row>
    <row r="169" spans="2:2">
      <c r="B169" s="11"/>
    </row>
    <row r="170" spans="2:2">
      <c r="B170" s="11"/>
    </row>
    <row r="171" spans="2:2">
      <c r="B171" s="11"/>
    </row>
    <row r="172" spans="2:2">
      <c r="B172" s="11"/>
    </row>
    <row r="173" spans="2:2">
      <c r="B173" s="11"/>
    </row>
    <row r="174" spans="2:2">
      <c r="B174" s="11"/>
    </row>
    <row r="175" spans="2:2">
      <c r="B175" s="11"/>
    </row>
    <row r="176" spans="2:2">
      <c r="B176" s="11"/>
    </row>
    <row r="177" spans="2:2">
      <c r="B177" s="11"/>
    </row>
    <row r="178" spans="2:2">
      <c r="B178" s="11"/>
    </row>
    <row r="179" spans="2:2">
      <c r="B179" s="11"/>
    </row>
    <row r="180" spans="2:2">
      <c r="B180" s="11"/>
    </row>
    <row r="181" spans="2:2">
      <c r="B181" s="11"/>
    </row>
    <row r="182" spans="2:2">
      <c r="B182" s="11"/>
    </row>
    <row r="183" spans="2:2">
      <c r="B183" s="11"/>
    </row>
    <row r="184" spans="2:2">
      <c r="B184" s="11"/>
    </row>
    <row r="185" spans="2:2">
      <c r="B185" s="11"/>
    </row>
    <row r="186" spans="2:2">
      <c r="B186" s="11"/>
    </row>
    <row r="187" spans="2:2">
      <c r="B187" s="11"/>
    </row>
    <row r="188" spans="2:2">
      <c r="B188" s="11"/>
    </row>
    <row r="189" spans="2:2">
      <c r="B189" s="11"/>
    </row>
    <row r="190" spans="2:2">
      <c r="B190" s="11"/>
    </row>
    <row r="191" spans="2:2">
      <c r="B191" s="11"/>
    </row>
    <row r="192" spans="2:2">
      <c r="B192" s="11"/>
    </row>
    <row r="193" spans="2:2">
      <c r="B193" s="11"/>
    </row>
    <row r="194" spans="2:2">
      <c r="B194" s="11"/>
    </row>
    <row r="195" spans="2:2">
      <c r="B195" s="11"/>
    </row>
    <row r="196" spans="2:2">
      <c r="B196" s="11"/>
    </row>
    <row r="197" spans="2:2">
      <c r="B197" s="11"/>
    </row>
    <row r="198" spans="2:2">
      <c r="B198" s="11"/>
    </row>
    <row r="199" spans="2:2">
      <c r="B199" s="11"/>
    </row>
    <row r="200" spans="2:2">
      <c r="B200" s="11"/>
    </row>
    <row r="201" spans="2:2">
      <c r="B201" s="11"/>
    </row>
    <row r="202" spans="2:2">
      <c r="B202" s="11"/>
    </row>
    <row r="203" spans="2:2">
      <c r="B203" s="11"/>
    </row>
    <row r="204" spans="2:2">
      <c r="B204" s="11"/>
    </row>
    <row r="205" spans="2:2">
      <c r="B205" s="11"/>
    </row>
    <row r="206" spans="2:2">
      <c r="B206" s="11"/>
    </row>
    <row r="207" spans="2:2">
      <c r="B207" s="11"/>
    </row>
    <row r="208" spans="2:2">
      <c r="B208" s="11"/>
    </row>
    <row r="209" spans="2:2">
      <c r="B209" s="11"/>
    </row>
    <row r="210" spans="2:2">
      <c r="B210" s="11"/>
    </row>
    <row r="211" spans="2:2">
      <c r="B211" s="11"/>
    </row>
    <row r="212" spans="2:2">
      <c r="B212" s="11"/>
    </row>
    <row r="213" spans="2:2">
      <c r="B213" s="11"/>
    </row>
    <row r="214" spans="2:2">
      <c r="B214" s="11"/>
    </row>
    <row r="215" spans="2:2">
      <c r="B215" s="11"/>
    </row>
    <row r="216" spans="2:2">
      <c r="B216" s="11"/>
    </row>
    <row r="217" spans="2:2">
      <c r="B217" s="11"/>
    </row>
    <row r="218" spans="2:2">
      <c r="B218" s="11"/>
    </row>
    <row r="219" spans="2:2">
      <c r="B219" s="11"/>
    </row>
    <row r="220" spans="2:2">
      <c r="B220" s="11"/>
    </row>
    <row r="221" spans="2:2">
      <c r="B221" s="11"/>
    </row>
    <row r="222" spans="2:2">
      <c r="B222" s="11"/>
    </row>
    <row r="223" spans="2:2">
      <c r="B223" s="11"/>
    </row>
    <row r="224" spans="2:2">
      <c r="B224" s="11"/>
    </row>
    <row r="225" spans="2:2">
      <c r="B225" s="11"/>
    </row>
    <row r="226" spans="2:2">
      <c r="B226" s="11"/>
    </row>
    <row r="227" spans="2:2">
      <c r="B227" s="11"/>
    </row>
    <row r="228" spans="2:2">
      <c r="B228" s="11"/>
    </row>
    <row r="229" spans="2:2">
      <c r="B229" s="11"/>
    </row>
    <row r="230" spans="2:2">
      <c r="B230" s="11"/>
    </row>
    <row r="231" spans="2:2">
      <c r="B231" s="11"/>
    </row>
    <row r="232" spans="2:2">
      <c r="B232" s="11"/>
    </row>
    <row r="233" spans="2:2">
      <c r="B233" s="11"/>
    </row>
    <row r="234" spans="2:2">
      <c r="B234" s="11"/>
    </row>
    <row r="235" spans="2:2">
      <c r="B235" s="11"/>
    </row>
    <row r="236" spans="2:2">
      <c r="B236" s="11"/>
    </row>
    <row r="237" spans="2:2">
      <c r="B237" s="11"/>
    </row>
    <row r="238" spans="2:2">
      <c r="B238" s="11"/>
    </row>
    <row r="239" spans="2:2">
      <c r="B239" s="11"/>
    </row>
    <row r="240" spans="2:2">
      <c r="B240" s="11"/>
    </row>
    <row r="241" spans="2:2">
      <c r="B241" s="11"/>
    </row>
    <row r="242" spans="2:2">
      <c r="B242" s="11"/>
    </row>
    <row r="243" spans="2:2">
      <c r="B243" s="11"/>
    </row>
    <row r="244" spans="2:2">
      <c r="B244" s="11"/>
    </row>
    <row r="245" spans="2:2">
      <c r="B245" s="11"/>
    </row>
    <row r="246" spans="2:2">
      <c r="B246" s="11"/>
    </row>
    <row r="247" spans="2:2">
      <c r="B247" s="11"/>
    </row>
    <row r="248" spans="2:2">
      <c r="B248" s="11"/>
    </row>
    <row r="249" spans="2:2">
      <c r="B249" s="11"/>
    </row>
    <row r="250" spans="2:2">
      <c r="B250" s="11"/>
    </row>
    <row r="251" spans="2:2">
      <c r="B251" s="11"/>
    </row>
    <row r="252" spans="2:2">
      <c r="B252" s="11"/>
    </row>
    <row r="253" spans="2:2">
      <c r="B253" s="11"/>
    </row>
    <row r="254" spans="2:2">
      <c r="B254" s="11"/>
    </row>
    <row r="255" spans="2:2">
      <c r="B255" s="11"/>
    </row>
    <row r="256" spans="2:2">
      <c r="B256" s="11"/>
    </row>
    <row r="257" spans="2:2">
      <c r="B257" s="11"/>
    </row>
    <row r="258" spans="2:2">
      <c r="B258" s="11"/>
    </row>
    <row r="259" spans="2:2">
      <c r="B259" s="11"/>
    </row>
    <row r="260" spans="2:2">
      <c r="B260" s="11"/>
    </row>
    <row r="261" spans="2:2">
      <c r="B261" s="11"/>
    </row>
    <row r="262" spans="2:2">
      <c r="B262" s="11"/>
    </row>
    <row r="263" spans="2:2">
      <c r="B263" s="11"/>
    </row>
    <row r="264" spans="2:2">
      <c r="B264" s="11"/>
    </row>
    <row r="265" spans="2:2">
      <c r="B265" s="11"/>
    </row>
    <row r="266" spans="2:2">
      <c r="B266" s="11"/>
    </row>
    <row r="267" spans="2:2">
      <c r="B267" s="11"/>
    </row>
    <row r="268" spans="2:2">
      <c r="B268" s="11"/>
    </row>
    <row r="269" spans="2:2">
      <c r="B269" s="11"/>
    </row>
    <row r="270" spans="2:2">
      <c r="B270" s="11"/>
    </row>
    <row r="271" spans="2:2">
      <c r="B271" s="11"/>
    </row>
    <row r="272" spans="2:2">
      <c r="B272" s="11"/>
    </row>
    <row r="273" spans="2:2">
      <c r="B273" s="11"/>
    </row>
    <row r="274" spans="2:2">
      <c r="B274" s="11"/>
    </row>
    <row r="275" spans="2:2">
      <c r="B275" s="11"/>
    </row>
    <row r="276" spans="2:2">
      <c r="B276" s="11"/>
    </row>
    <row r="277" spans="2:2">
      <c r="B277" s="11"/>
    </row>
    <row r="278" spans="2:2">
      <c r="B278" s="11"/>
    </row>
    <row r="279" spans="2:2">
      <c r="B279" s="11"/>
    </row>
    <row r="280" spans="2:2">
      <c r="B280" s="11"/>
    </row>
    <row r="281" spans="2:2">
      <c r="B281" s="11"/>
    </row>
    <row r="282" spans="2:2">
      <c r="B282" s="11"/>
    </row>
    <row r="283" spans="2:2">
      <c r="B283" s="11"/>
    </row>
    <row r="284" spans="2:2">
      <c r="B284" s="11"/>
    </row>
    <row r="285" spans="2:2">
      <c r="B285" s="11"/>
    </row>
    <row r="286" spans="2:2">
      <c r="B286" s="11"/>
    </row>
    <row r="287" spans="2:2">
      <c r="B287" s="11"/>
    </row>
    <row r="288" spans="2:2">
      <c r="B288" s="11"/>
    </row>
    <row r="289" spans="2:2">
      <c r="B289" s="11"/>
    </row>
    <row r="290" spans="2:2">
      <c r="B290" s="11"/>
    </row>
    <row r="291" spans="2:2">
      <c r="B291" s="11"/>
    </row>
    <row r="292" spans="2:2">
      <c r="B292" s="11"/>
    </row>
    <row r="293" spans="2:2">
      <c r="B293" s="11"/>
    </row>
    <row r="294" spans="2:2">
      <c r="B294" s="11"/>
    </row>
    <row r="295" spans="2:2">
      <c r="B295" s="11"/>
    </row>
    <row r="296" spans="2:2">
      <c r="B296" s="11"/>
    </row>
    <row r="297" spans="2:2">
      <c r="B297" s="11"/>
    </row>
    <row r="298" spans="2:2">
      <c r="B298" s="11"/>
    </row>
    <row r="299" spans="2:2">
      <c r="B299" s="11"/>
    </row>
    <row r="300" spans="2:2">
      <c r="B300" s="11"/>
    </row>
    <row r="301" spans="2:2">
      <c r="B301" s="11"/>
    </row>
    <row r="302" spans="2:2">
      <c r="B302" s="11"/>
    </row>
    <row r="303" spans="2:2">
      <c r="B303" s="11"/>
    </row>
    <row r="304" spans="2:2">
      <c r="B304" s="11"/>
    </row>
    <row r="305" spans="2:2">
      <c r="B305" s="11"/>
    </row>
    <row r="306" spans="2:2">
      <c r="B306" s="11"/>
    </row>
    <row r="307" spans="2:2">
      <c r="B307" s="11"/>
    </row>
    <row r="308" spans="2:2">
      <c r="B308" s="11"/>
    </row>
    <row r="309" spans="2:2">
      <c r="B309" s="11"/>
    </row>
    <row r="310" spans="2:2">
      <c r="B310" s="11"/>
    </row>
    <row r="311" spans="2:2">
      <c r="B311" s="11"/>
    </row>
    <row r="312" spans="2:2">
      <c r="B312" s="11"/>
    </row>
    <row r="313" spans="2:2">
      <c r="B313" s="11"/>
    </row>
    <row r="314" spans="2:2">
      <c r="B314" s="11"/>
    </row>
    <row r="315" spans="2:2">
      <c r="B315" s="11"/>
    </row>
    <row r="316" spans="2:2">
      <c r="B316" s="11"/>
    </row>
    <row r="317" spans="2:2">
      <c r="B317" s="11"/>
    </row>
    <row r="318" spans="2:2">
      <c r="B318" s="11"/>
    </row>
    <row r="319" spans="2:2">
      <c r="B319" s="11"/>
    </row>
    <row r="320" spans="2:2">
      <c r="B320" s="11"/>
    </row>
    <row r="321" spans="2:2">
      <c r="B321" s="11"/>
    </row>
    <row r="322" spans="2:2">
      <c r="B322" s="11"/>
    </row>
    <row r="323" spans="2:2">
      <c r="B323" s="11"/>
    </row>
    <row r="324" spans="2:2">
      <c r="B324" s="11"/>
    </row>
    <row r="325" spans="2:2">
      <c r="B325" s="11"/>
    </row>
    <row r="326" spans="2:2">
      <c r="B326" s="11"/>
    </row>
    <row r="327" spans="2:2">
      <c r="B327" s="11"/>
    </row>
    <row r="328" spans="2:2">
      <c r="B328" s="11"/>
    </row>
    <row r="329" spans="2:2">
      <c r="B329" s="11"/>
    </row>
    <row r="330" spans="2:2">
      <c r="B330" s="11"/>
    </row>
    <row r="331" spans="2:2">
      <c r="B331" s="11"/>
    </row>
    <row r="332" spans="2:2">
      <c r="B332" s="11"/>
    </row>
    <row r="333" spans="2:2">
      <c r="B333" s="11"/>
    </row>
    <row r="334" spans="2:2">
      <c r="B334" s="11"/>
    </row>
    <row r="335" spans="2:2">
      <c r="B335" s="11"/>
    </row>
    <row r="336" spans="2:2">
      <c r="B336" s="11"/>
    </row>
    <row r="337" spans="2:2">
      <c r="B337" s="11"/>
    </row>
    <row r="338" spans="2:2">
      <c r="B338" s="11"/>
    </row>
    <row r="339" spans="2:2">
      <c r="B339" s="11"/>
    </row>
    <row r="340" spans="2:2">
      <c r="B340" s="11"/>
    </row>
    <row r="341" spans="2:2">
      <c r="B341" s="11"/>
    </row>
    <row r="342" spans="2:2">
      <c r="B342" s="11"/>
    </row>
    <row r="343" spans="2:2">
      <c r="B343" s="11"/>
    </row>
    <row r="344" spans="2:2">
      <c r="B344" s="11"/>
    </row>
    <row r="345" spans="2:2">
      <c r="B345" s="11"/>
    </row>
    <row r="346" spans="2:2">
      <c r="B346" s="11"/>
    </row>
    <row r="347" spans="2:2">
      <c r="B347" s="11"/>
    </row>
    <row r="348" spans="2:2">
      <c r="B348" s="11"/>
    </row>
    <row r="349" spans="2:2">
      <c r="B349" s="11"/>
    </row>
    <row r="350" spans="2:2">
      <c r="B350" s="11"/>
    </row>
    <row r="351" spans="2:2">
      <c r="B351" s="11"/>
    </row>
    <row r="352" spans="2:2">
      <c r="B352" s="11"/>
    </row>
    <row r="353" spans="2:2">
      <c r="B353" s="11"/>
    </row>
    <row r="354" spans="2:2">
      <c r="B354" s="11"/>
    </row>
    <row r="355" spans="2:2">
      <c r="B355" s="11"/>
    </row>
    <row r="356" spans="2:2">
      <c r="B356" s="11"/>
    </row>
    <row r="357" spans="2:2">
      <c r="B357" s="11"/>
    </row>
    <row r="358" spans="2:2">
      <c r="B358" s="11"/>
    </row>
    <row r="359" spans="2:2">
      <c r="B359" s="11"/>
    </row>
    <row r="360" spans="2:2">
      <c r="B360" s="11"/>
    </row>
    <row r="361" spans="2:2">
      <c r="B361" s="11"/>
    </row>
    <row r="362" spans="2:2">
      <c r="B362" s="11"/>
    </row>
    <row r="363" spans="2:2">
      <c r="B363" s="11"/>
    </row>
    <row r="364" spans="2:2">
      <c r="B364" s="11"/>
    </row>
    <row r="365" spans="2:2">
      <c r="B365" s="11"/>
    </row>
    <row r="366" spans="2:2">
      <c r="B366" s="11"/>
    </row>
    <row r="367" spans="2:2">
      <c r="B367" s="11"/>
    </row>
    <row r="368" spans="2:2">
      <c r="B368" s="11"/>
    </row>
    <row r="369" spans="2:2">
      <c r="B369" s="11"/>
    </row>
    <row r="370" spans="2:2">
      <c r="B370" s="11"/>
    </row>
    <row r="371" spans="2:2">
      <c r="B371" s="11"/>
    </row>
    <row r="372" spans="2:2">
      <c r="B372" s="11"/>
    </row>
    <row r="373" spans="2:2">
      <c r="B373" s="11"/>
    </row>
    <row r="374" spans="2:2">
      <c r="B374" s="11"/>
    </row>
    <row r="375" spans="2:2">
      <c r="B375" s="11"/>
    </row>
    <row r="376" spans="2:2">
      <c r="B376" s="11"/>
    </row>
    <row r="377" spans="2:2">
      <c r="B377" s="11"/>
    </row>
    <row r="378" spans="2:2">
      <c r="B378" s="11"/>
    </row>
    <row r="379" spans="2:2">
      <c r="B379" s="11"/>
    </row>
    <row r="380" spans="2:2">
      <c r="B380" s="11"/>
    </row>
    <row r="381" spans="2:2">
      <c r="B381" s="11"/>
    </row>
    <row r="382" spans="2:2">
      <c r="B382" s="11"/>
    </row>
    <row r="383" spans="2:2">
      <c r="B383" s="11"/>
    </row>
    <row r="384" spans="2:2">
      <c r="B384" s="11"/>
    </row>
    <row r="385" spans="2:2">
      <c r="B385" s="11"/>
    </row>
    <row r="386" spans="2:2">
      <c r="B386" s="11"/>
    </row>
    <row r="387" spans="2:2">
      <c r="B387" s="11"/>
    </row>
    <row r="388" spans="2:2">
      <c r="B388" s="11"/>
    </row>
    <row r="389" spans="2:2">
      <c r="B389" s="11"/>
    </row>
    <row r="390" spans="2:2">
      <c r="B390" s="11"/>
    </row>
    <row r="391" spans="2:2">
      <c r="B391" s="11"/>
    </row>
    <row r="392" spans="2:2">
      <c r="B392" s="11"/>
    </row>
    <row r="393" spans="2:2">
      <c r="B393" s="11"/>
    </row>
    <row r="394" spans="2:2">
      <c r="B394" s="11"/>
    </row>
    <row r="395" spans="2:2">
      <c r="B395" s="11"/>
    </row>
    <row r="396" spans="2:2">
      <c r="B396" s="11"/>
    </row>
    <row r="397" spans="2:2">
      <c r="B397" s="11"/>
    </row>
    <row r="398" spans="2:2">
      <c r="B398" s="11"/>
    </row>
    <row r="399" spans="2:2">
      <c r="B399" s="11"/>
    </row>
    <row r="400" spans="2:2">
      <c r="B400" s="11"/>
    </row>
    <row r="401" spans="2:2">
      <c r="B401" s="11"/>
    </row>
    <row r="402" spans="2:2">
      <c r="B402" s="11"/>
    </row>
    <row r="403" spans="2:2">
      <c r="B403" s="11"/>
    </row>
    <row r="404" spans="2:2">
      <c r="B404" s="11"/>
    </row>
    <row r="405" spans="2:2">
      <c r="B405" s="11"/>
    </row>
    <row r="406" spans="2:2">
      <c r="B406" s="11"/>
    </row>
    <row r="407" spans="2:2">
      <c r="B407" s="11"/>
    </row>
    <row r="408" spans="2:2">
      <c r="B408" s="11"/>
    </row>
    <row r="409" spans="2:2">
      <c r="B409" s="11"/>
    </row>
    <row r="410" spans="2:2">
      <c r="B410" s="11"/>
    </row>
    <row r="411" spans="2:2">
      <c r="B411" s="11"/>
    </row>
    <row r="412" spans="2:2">
      <c r="B412" s="11"/>
    </row>
    <row r="413" spans="2:2">
      <c r="B413" s="11"/>
    </row>
    <row r="414" spans="2:2">
      <c r="B414" s="11"/>
    </row>
    <row r="415" spans="2:2">
      <c r="B415" s="11"/>
    </row>
    <row r="416" spans="2:2">
      <c r="B416" s="11"/>
    </row>
    <row r="417" spans="2:2">
      <c r="B417" s="11"/>
    </row>
    <row r="418" spans="2:2">
      <c r="B418" s="11"/>
    </row>
    <row r="419" spans="2:2">
      <c r="B419" s="11"/>
    </row>
    <row r="420" spans="2:2">
      <c r="B420" s="11"/>
    </row>
    <row r="421" spans="2:2">
      <c r="B421" s="11"/>
    </row>
    <row r="422" spans="2:2">
      <c r="B422" s="11"/>
    </row>
    <row r="423" spans="2:2">
      <c r="B423" s="11"/>
    </row>
    <row r="424" spans="2:2">
      <c r="B424" s="11"/>
    </row>
    <row r="425" spans="2:2">
      <c r="B425" s="11"/>
    </row>
    <row r="426" spans="2:2">
      <c r="B426" s="11"/>
    </row>
    <row r="427" spans="2:2">
      <c r="B427" s="11"/>
    </row>
    <row r="428" spans="2:2">
      <c r="B428" s="11"/>
    </row>
    <row r="429" spans="2:2">
      <c r="B429" s="11"/>
    </row>
    <row r="430" spans="2:2">
      <c r="B430" s="11"/>
    </row>
    <row r="431" spans="2:2">
      <c r="B431" s="11"/>
    </row>
    <row r="432" spans="2:2">
      <c r="B432" s="11"/>
    </row>
    <row r="433" spans="2:2">
      <c r="B433" s="11"/>
    </row>
    <row r="434" spans="2:2">
      <c r="B434" s="11"/>
    </row>
    <row r="435" spans="2:2">
      <c r="B435" s="11"/>
    </row>
    <row r="436" spans="2:2">
      <c r="B436" s="11"/>
    </row>
    <row r="437" spans="2:2">
      <c r="B437" s="11"/>
    </row>
    <row r="438" spans="2:2">
      <c r="B438" s="11"/>
    </row>
    <row r="439" spans="2:2">
      <c r="B439" s="11"/>
    </row>
    <row r="440" spans="2:2">
      <c r="B440" s="11"/>
    </row>
    <row r="441" spans="2:2">
      <c r="B441" s="11"/>
    </row>
    <row r="442" spans="2:2">
      <c r="B442" s="11"/>
    </row>
    <row r="443" spans="2:2">
      <c r="B443" s="11"/>
    </row>
    <row r="444" spans="2:2">
      <c r="B444" s="11"/>
    </row>
    <row r="445" spans="2:2">
      <c r="B445" s="11"/>
    </row>
    <row r="446" spans="2:2">
      <c r="B446" s="11"/>
    </row>
    <row r="447" spans="2:2">
      <c r="B447" s="11"/>
    </row>
    <row r="448" spans="2:2">
      <c r="B448" s="11"/>
    </row>
    <row r="449" spans="2:2">
      <c r="B449" s="11"/>
    </row>
    <row r="450" spans="2:2">
      <c r="B450" s="11"/>
    </row>
    <row r="451" spans="2:2">
      <c r="B451" s="11"/>
    </row>
    <row r="452" spans="2:2">
      <c r="B452" s="11"/>
    </row>
    <row r="453" spans="2:2">
      <c r="B453" s="11"/>
    </row>
    <row r="454" spans="2:2">
      <c r="B454" s="11"/>
    </row>
    <row r="455" spans="2:2">
      <c r="B455" s="11"/>
    </row>
    <row r="456" spans="2:2">
      <c r="B456" s="11"/>
    </row>
    <row r="457" spans="2:2">
      <c r="B457" s="11"/>
    </row>
    <row r="458" spans="2:2">
      <c r="B458" s="11"/>
    </row>
    <row r="459" spans="2:2">
      <c r="B459" s="11"/>
    </row>
    <row r="460" spans="2:2">
      <c r="B460" s="11"/>
    </row>
    <row r="461" spans="2:2">
      <c r="B461" s="11"/>
    </row>
    <row r="462" spans="2:2">
      <c r="B462" s="11"/>
    </row>
    <row r="463" spans="2:2">
      <c r="B463" s="11"/>
    </row>
    <row r="464" spans="2:2">
      <c r="B464" s="11"/>
    </row>
    <row r="465" spans="2:2">
      <c r="B465" s="11"/>
    </row>
    <row r="466" spans="2:2">
      <c r="B466" s="11"/>
    </row>
    <row r="467" spans="2:2">
      <c r="B467" s="11"/>
    </row>
    <row r="468" spans="2:2">
      <c r="B468" s="11"/>
    </row>
    <row r="469" spans="2:2">
      <c r="B469" s="11"/>
    </row>
    <row r="470" spans="2:2">
      <c r="B470" s="11"/>
    </row>
    <row r="471" spans="2:2">
      <c r="B471" s="11"/>
    </row>
    <row r="472" spans="2:2">
      <c r="B472" s="11"/>
    </row>
    <row r="473" spans="2:2">
      <c r="B473" s="11"/>
    </row>
    <row r="474" spans="2:2">
      <c r="B474" s="11"/>
    </row>
    <row r="475" spans="2:2">
      <c r="B475" s="11"/>
    </row>
    <row r="476" spans="2:2">
      <c r="B476" s="11"/>
    </row>
    <row r="477" spans="2:2">
      <c r="B477" s="11"/>
    </row>
    <row r="478" spans="2:2">
      <c r="B478" s="11"/>
    </row>
    <row r="479" spans="2:2">
      <c r="B479" s="11"/>
    </row>
    <row r="480" spans="2:2">
      <c r="B480" s="11"/>
    </row>
    <row r="481" spans="2:2">
      <c r="B481" s="11"/>
    </row>
    <row r="482" spans="2:2">
      <c r="B482" s="11"/>
    </row>
    <row r="483" spans="2:2">
      <c r="B483" s="11"/>
    </row>
    <row r="484" spans="2:2">
      <c r="B484" s="11"/>
    </row>
    <row r="485" spans="2:2">
      <c r="B485" s="11"/>
    </row>
    <row r="486" spans="2:2">
      <c r="B486" s="11"/>
    </row>
    <row r="487" spans="2:2">
      <c r="B487" s="11"/>
    </row>
    <row r="488" spans="2:2">
      <c r="B488" s="11"/>
    </row>
    <row r="489" spans="2:2">
      <c r="B489" s="11"/>
    </row>
    <row r="490" spans="2:2">
      <c r="B490" s="11"/>
    </row>
    <row r="491" spans="2:2">
      <c r="B491" s="11"/>
    </row>
    <row r="492" spans="2:2">
      <c r="B492" s="11"/>
    </row>
    <row r="493" spans="2:2">
      <c r="B493" s="11"/>
    </row>
    <row r="494" spans="2:2">
      <c r="B494" s="11"/>
    </row>
    <row r="495" spans="2:2">
      <c r="B495" s="11"/>
    </row>
    <row r="496" spans="2:2">
      <c r="B496" s="11"/>
    </row>
    <row r="497" spans="2:2">
      <c r="B497" s="11"/>
    </row>
    <row r="498" spans="2:2">
      <c r="B498" s="11"/>
    </row>
    <row r="499" spans="2:2">
      <c r="B499" s="11"/>
    </row>
    <row r="500" spans="2:2">
      <c r="B500" s="11"/>
    </row>
    <row r="501" spans="2:2">
      <c r="B501" s="11"/>
    </row>
    <row r="502" spans="2:2">
      <c r="B502" s="11"/>
    </row>
    <row r="503" spans="2:2">
      <c r="B503" s="11"/>
    </row>
    <row r="504" spans="2:2">
      <c r="B504" s="11"/>
    </row>
    <row r="505" spans="2:2">
      <c r="B505" s="11"/>
    </row>
    <row r="506" spans="2:2">
      <c r="B506" s="11"/>
    </row>
    <row r="507" spans="2:2">
      <c r="B507" s="11"/>
    </row>
    <row r="508" spans="2:2">
      <c r="B508" s="11"/>
    </row>
    <row r="509" spans="2:2">
      <c r="B509" s="11"/>
    </row>
    <row r="510" spans="2:2">
      <c r="B510" s="11"/>
    </row>
    <row r="511" spans="2:2">
      <c r="B511" s="11"/>
    </row>
    <row r="512" spans="2:2">
      <c r="B512" s="11"/>
    </row>
    <row r="513" spans="2:2">
      <c r="B513" s="11"/>
    </row>
    <row r="514" spans="2:2">
      <c r="B514" s="11"/>
    </row>
    <row r="515" spans="2:2">
      <c r="B515" s="11"/>
    </row>
    <row r="516" spans="2:2">
      <c r="B516" s="11"/>
    </row>
    <row r="517" spans="2:2">
      <c r="B517" s="11"/>
    </row>
    <row r="518" spans="2:2">
      <c r="B518" s="11"/>
    </row>
    <row r="519" spans="2:2">
      <c r="B519" s="11"/>
    </row>
    <row r="520" spans="2:2">
      <c r="B520" s="11"/>
    </row>
    <row r="521" spans="2:2">
      <c r="B521" s="11"/>
    </row>
    <row r="522" spans="2:2">
      <c r="B522" s="11"/>
    </row>
    <row r="523" spans="2:2">
      <c r="B523" s="11"/>
    </row>
    <row r="524" spans="2:2">
      <c r="B524" s="11"/>
    </row>
    <row r="525" spans="2:2">
      <c r="B525" s="11"/>
    </row>
    <row r="526" spans="2:2">
      <c r="B526" s="11"/>
    </row>
    <row r="527" spans="2:2">
      <c r="B527" s="11"/>
    </row>
    <row r="528" spans="2:2">
      <c r="B528" s="11"/>
    </row>
    <row r="529" spans="2:2">
      <c r="B529" s="11"/>
    </row>
    <row r="530" spans="2:2">
      <c r="B530" s="11"/>
    </row>
    <row r="531" spans="2:2">
      <c r="B531" s="11"/>
    </row>
    <row r="532" spans="2:2">
      <c r="B532" s="11"/>
    </row>
    <row r="533" spans="2:2">
      <c r="B533" s="11"/>
    </row>
    <row r="534" spans="2:2">
      <c r="B534" s="11"/>
    </row>
    <row r="535" spans="2:2">
      <c r="B535" s="11"/>
    </row>
    <row r="536" spans="2:2">
      <c r="B536" s="11"/>
    </row>
    <row r="537" spans="2:2">
      <c r="B537" s="11"/>
    </row>
    <row r="538" spans="2:2">
      <c r="B538" s="11"/>
    </row>
    <row r="539" spans="2:2">
      <c r="B539" s="11"/>
    </row>
    <row r="540" spans="2:2">
      <c r="B540" s="11"/>
    </row>
    <row r="541" spans="2:2">
      <c r="B541" s="11"/>
    </row>
    <row r="542" spans="2:2">
      <c r="B542" s="11"/>
    </row>
    <row r="543" spans="2:2">
      <c r="B543" s="11"/>
    </row>
    <row r="544" spans="2:2">
      <c r="B544" s="11"/>
    </row>
    <row r="545" spans="2:2">
      <c r="B545" s="11"/>
    </row>
    <row r="546" spans="2:2">
      <c r="B546" s="11"/>
    </row>
    <row r="547" spans="2:2">
      <c r="B547" s="11"/>
    </row>
    <row r="548" spans="2:2">
      <c r="B548" s="11"/>
    </row>
    <row r="549" spans="2:2">
      <c r="B549" s="11"/>
    </row>
    <row r="550" spans="2:2">
      <c r="B550" s="11"/>
    </row>
    <row r="551" spans="2:2">
      <c r="B551" s="11"/>
    </row>
    <row r="552" spans="2:2">
      <c r="B552" s="11"/>
    </row>
    <row r="553" spans="2:2">
      <c r="B553" s="11"/>
    </row>
    <row r="554" spans="2:2">
      <c r="B554" s="11"/>
    </row>
    <row r="555" spans="2:2">
      <c r="B555" s="11"/>
    </row>
    <row r="556" spans="2:2">
      <c r="B556" s="11"/>
    </row>
    <row r="557" spans="2:2">
      <c r="B557" s="11"/>
    </row>
    <row r="558" spans="2:2">
      <c r="B558" s="11"/>
    </row>
    <row r="559" spans="2:2">
      <c r="B559" s="11"/>
    </row>
    <row r="560" spans="2:2">
      <c r="B560" s="11"/>
    </row>
    <row r="561" spans="2:2">
      <c r="B561" s="11"/>
    </row>
    <row r="562" spans="2:2">
      <c r="B562" s="11"/>
    </row>
    <row r="563" spans="2:2">
      <c r="B563" s="11"/>
    </row>
    <row r="564" spans="2:2">
      <c r="B564" s="11"/>
    </row>
    <row r="565" spans="2:2">
      <c r="B565" s="11"/>
    </row>
    <row r="566" spans="2:2">
      <c r="B566" s="11"/>
    </row>
    <row r="567" spans="2:2">
      <c r="B567" s="11"/>
    </row>
    <row r="568" spans="2:2">
      <c r="B568" s="11"/>
    </row>
    <row r="569" spans="2:2">
      <c r="B569" s="11"/>
    </row>
    <row r="570" spans="2:2">
      <c r="B570" s="11"/>
    </row>
    <row r="571" spans="2:2">
      <c r="B571" s="11"/>
    </row>
    <row r="572" spans="2:2">
      <c r="B572" s="11"/>
    </row>
    <row r="573" spans="2:2">
      <c r="B573" s="11"/>
    </row>
    <row r="574" spans="2:2">
      <c r="B574" s="11"/>
    </row>
    <row r="575" spans="2:2">
      <c r="B575" s="11"/>
    </row>
    <row r="576" spans="2:2">
      <c r="B576" s="11"/>
    </row>
    <row r="577" spans="2:2">
      <c r="B577" s="11"/>
    </row>
    <row r="578" spans="2:2">
      <c r="B578" s="11"/>
    </row>
    <row r="579" spans="2:2">
      <c r="B579" s="11"/>
    </row>
    <row r="580" spans="2:2">
      <c r="B580" s="11"/>
    </row>
    <row r="581" spans="2:2">
      <c r="B581" s="11"/>
    </row>
    <row r="582" spans="2:2">
      <c r="B582" s="11"/>
    </row>
    <row r="583" spans="2:2">
      <c r="B583" s="11"/>
    </row>
    <row r="584" spans="2:2">
      <c r="B584" s="11"/>
    </row>
    <row r="585" spans="2:2">
      <c r="B585" s="11"/>
    </row>
    <row r="586" spans="2:2">
      <c r="B586" s="11"/>
    </row>
    <row r="587" spans="2:2">
      <c r="B587" s="11"/>
    </row>
    <row r="588" spans="2:2">
      <c r="B588" s="11"/>
    </row>
    <row r="589" spans="2:2">
      <c r="B589" s="11"/>
    </row>
    <row r="590" spans="2:2">
      <c r="B590" s="11"/>
    </row>
    <row r="591" spans="2:2">
      <c r="B591" s="11"/>
    </row>
    <row r="592" spans="2:2">
      <c r="B592" s="11"/>
    </row>
    <row r="593" spans="2:2">
      <c r="B593" s="11"/>
    </row>
    <row r="594" spans="2:2">
      <c r="B594" s="11"/>
    </row>
    <row r="595" spans="2:2">
      <c r="B595" s="11"/>
    </row>
    <row r="596" spans="2:2">
      <c r="B596" s="11"/>
    </row>
    <row r="597" spans="2:2">
      <c r="B597" s="11"/>
    </row>
    <row r="598" spans="2:2">
      <c r="B598" s="11"/>
    </row>
    <row r="599" spans="2:2">
      <c r="B599" s="11"/>
    </row>
    <row r="600" spans="2:2">
      <c r="B600" s="11"/>
    </row>
    <row r="601" spans="2:2">
      <c r="B601" s="11"/>
    </row>
    <row r="602" spans="2:2">
      <c r="B602" s="11"/>
    </row>
    <row r="603" spans="2:2">
      <c r="B603" s="11"/>
    </row>
    <row r="604" spans="2:2">
      <c r="B604" s="11"/>
    </row>
    <row r="605" spans="2:2">
      <c r="B605" s="11"/>
    </row>
    <row r="606" spans="2:2">
      <c r="B606" s="11"/>
    </row>
    <row r="607" spans="2:2">
      <c r="B607" s="11"/>
    </row>
    <row r="608" spans="2:2">
      <c r="B608" s="11"/>
    </row>
    <row r="609" spans="2:2">
      <c r="B609" s="11"/>
    </row>
    <row r="610" spans="2:2">
      <c r="B610" s="11"/>
    </row>
    <row r="611" spans="2:2">
      <c r="B611" s="11"/>
    </row>
    <row r="612" spans="2:2">
      <c r="B612" s="11"/>
    </row>
    <row r="613" spans="2:2">
      <c r="B613" s="11"/>
    </row>
    <row r="614" spans="2:2">
      <c r="B614" s="11"/>
    </row>
    <row r="615" spans="2:2">
      <c r="B615" s="11"/>
    </row>
    <row r="616" spans="2:2">
      <c r="B616" s="11"/>
    </row>
    <row r="617" spans="2:2">
      <c r="B617" s="11"/>
    </row>
    <row r="618" spans="2:2">
      <c r="B618" s="11"/>
    </row>
    <row r="619" spans="2:2">
      <c r="B619" s="11"/>
    </row>
    <row r="620" spans="2:2">
      <c r="B620" s="11"/>
    </row>
    <row r="621" spans="2:2">
      <c r="B621" s="11"/>
    </row>
    <row r="622" spans="2:2">
      <c r="B622" s="11"/>
    </row>
    <row r="623" spans="2:2">
      <c r="B623" s="11"/>
    </row>
    <row r="624" spans="2:2">
      <c r="B624" s="11"/>
    </row>
    <row r="625" spans="2:2">
      <c r="B625" s="11"/>
    </row>
    <row r="626" spans="2:2">
      <c r="B626" s="11"/>
    </row>
    <row r="627" spans="2:2">
      <c r="B627" s="11"/>
    </row>
    <row r="628" spans="2:2">
      <c r="B628" s="11"/>
    </row>
    <row r="629" spans="2:2">
      <c r="B629" s="11"/>
    </row>
    <row r="630" spans="2:2">
      <c r="B630" s="11"/>
    </row>
    <row r="631" spans="2:2">
      <c r="B631" s="11"/>
    </row>
    <row r="632" spans="2:2">
      <c r="B632" s="11"/>
    </row>
    <row r="633" spans="2:2">
      <c r="B633" s="11"/>
    </row>
    <row r="634" spans="2:2">
      <c r="B634" s="11"/>
    </row>
    <row r="635" spans="2:2">
      <c r="B635" s="11"/>
    </row>
    <row r="636" spans="2:2">
      <c r="B636" s="11"/>
    </row>
    <row r="637" spans="2:2">
      <c r="B637" s="11"/>
    </row>
    <row r="638" spans="2:2">
      <c r="B638" s="11"/>
    </row>
    <row r="639" spans="2:2">
      <c r="B639" s="11"/>
    </row>
    <row r="640" spans="2:2">
      <c r="B640" s="11"/>
    </row>
    <row r="641" spans="2:2">
      <c r="B641" s="11"/>
    </row>
    <row r="642" spans="2:2">
      <c r="B642" s="11"/>
    </row>
    <row r="643" spans="2:2">
      <c r="B643" s="11"/>
    </row>
    <row r="644" spans="2:2">
      <c r="B644" s="11"/>
    </row>
    <row r="645" spans="2:2">
      <c r="B645" s="11"/>
    </row>
    <row r="646" spans="2:2">
      <c r="B646" s="11"/>
    </row>
    <row r="647" spans="2:2">
      <c r="B647" s="11"/>
    </row>
    <row r="648" spans="2:2">
      <c r="B648" s="11"/>
    </row>
    <row r="649" spans="2:2">
      <c r="B649" s="11"/>
    </row>
    <row r="650" spans="2:2">
      <c r="B650" s="11"/>
    </row>
    <row r="651" spans="2:2">
      <c r="B651" s="11"/>
    </row>
    <row r="652" spans="2:2">
      <c r="B652" s="11"/>
    </row>
    <row r="653" spans="2:2">
      <c r="B653" s="11"/>
    </row>
    <row r="654" spans="2:2">
      <c r="B654" s="11"/>
    </row>
    <row r="655" spans="2:2">
      <c r="B655" s="11"/>
    </row>
    <row r="656" spans="2:2">
      <c r="B656" s="11"/>
    </row>
    <row r="657" spans="2:2">
      <c r="B657" s="11"/>
    </row>
    <row r="658" spans="2:2">
      <c r="B658" s="11"/>
    </row>
    <row r="659" spans="2:2">
      <c r="B659" s="11"/>
    </row>
    <row r="660" spans="2:2">
      <c r="B660" s="11"/>
    </row>
    <row r="661" spans="2:2">
      <c r="B661" s="11"/>
    </row>
    <row r="662" spans="2:2">
      <c r="B662" s="11"/>
    </row>
    <row r="663" spans="2:2">
      <c r="B663" s="11"/>
    </row>
    <row r="664" spans="2:2">
      <c r="B664" s="11"/>
    </row>
    <row r="665" spans="2:2">
      <c r="B665" s="11"/>
    </row>
    <row r="666" spans="2:2">
      <c r="B666" s="11"/>
    </row>
    <row r="667" spans="2:2">
      <c r="B667" s="11"/>
    </row>
    <row r="668" spans="2:2">
      <c r="B668" s="11"/>
    </row>
    <row r="669" spans="2:2">
      <c r="B669" s="11"/>
    </row>
    <row r="670" spans="2:2">
      <c r="B670" s="11"/>
    </row>
    <row r="671" spans="2:2">
      <c r="B671" s="11"/>
    </row>
    <row r="672" spans="2:2">
      <c r="B672" s="11"/>
    </row>
    <row r="673" spans="2:2">
      <c r="B673" s="11"/>
    </row>
    <row r="674" spans="2:2">
      <c r="B674" s="11"/>
    </row>
    <row r="675" spans="2:2">
      <c r="B675" s="11"/>
    </row>
    <row r="676" spans="2:2">
      <c r="B676" s="11"/>
    </row>
    <row r="677" spans="2:2">
      <c r="B677" s="11"/>
    </row>
    <row r="678" spans="2:2">
      <c r="B678" s="11"/>
    </row>
    <row r="679" spans="2:2">
      <c r="B679" s="11"/>
    </row>
    <row r="680" spans="2:2">
      <c r="B680" s="11"/>
    </row>
    <row r="681" spans="2:2">
      <c r="B681" s="11"/>
    </row>
    <row r="682" spans="2:2">
      <c r="B682" s="11"/>
    </row>
    <row r="683" spans="2:2">
      <c r="B683" s="11"/>
    </row>
    <row r="684" spans="2:2">
      <c r="B684" s="11"/>
    </row>
    <row r="685" spans="2:2">
      <c r="B685" s="11"/>
    </row>
    <row r="686" spans="2:2">
      <c r="B686" s="11"/>
    </row>
    <row r="687" spans="2:2">
      <c r="B687" s="11"/>
    </row>
    <row r="688" spans="2:2">
      <c r="B688" s="11"/>
    </row>
    <row r="689" spans="2:2">
      <c r="B689" s="11"/>
    </row>
    <row r="690" spans="2:2">
      <c r="B690" s="11"/>
    </row>
    <row r="691" spans="2:2">
      <c r="B691" s="11"/>
    </row>
    <row r="692" spans="2:2">
      <c r="B692" s="11"/>
    </row>
    <row r="693" spans="2:2">
      <c r="B693" s="11"/>
    </row>
    <row r="694" spans="2:2">
      <c r="B694" s="11"/>
    </row>
    <row r="695" spans="2:2">
      <c r="B695" s="11"/>
    </row>
    <row r="696" spans="2:2">
      <c r="B696" s="11"/>
    </row>
    <row r="697" spans="2:2">
      <c r="B697" s="11"/>
    </row>
    <row r="698" spans="2:2">
      <c r="B698" s="11"/>
    </row>
    <row r="699" spans="2:2">
      <c r="B699" s="11"/>
    </row>
    <row r="700" spans="2:2">
      <c r="B700" s="11"/>
    </row>
    <row r="701" spans="2:2">
      <c r="B701" s="11"/>
    </row>
    <row r="702" spans="2:2">
      <c r="B702" s="11"/>
    </row>
    <row r="703" spans="2:2">
      <c r="B703" s="11"/>
    </row>
    <row r="704" spans="2:2">
      <c r="B704" s="11"/>
    </row>
    <row r="705" spans="2:2">
      <c r="B705" s="11"/>
    </row>
    <row r="706" spans="2:2">
      <c r="B706" s="11"/>
    </row>
    <row r="707" spans="2:2">
      <c r="B707" s="11"/>
    </row>
    <row r="708" spans="2:2">
      <c r="B708" s="11"/>
    </row>
    <row r="709" spans="2:2">
      <c r="B709" s="11"/>
    </row>
    <row r="710" spans="2:2">
      <c r="B710" s="11"/>
    </row>
    <row r="711" spans="2:2">
      <c r="B711" s="11"/>
    </row>
    <row r="712" spans="2:2">
      <c r="B712" s="11"/>
    </row>
    <row r="713" spans="2:2">
      <c r="B713" s="11"/>
    </row>
    <row r="714" spans="2:2">
      <c r="B714" s="11"/>
    </row>
    <row r="715" spans="2:2">
      <c r="B715" s="11"/>
    </row>
    <row r="716" spans="2:2">
      <c r="B716" s="11"/>
    </row>
    <row r="717" spans="2:2">
      <c r="B717" s="11"/>
    </row>
    <row r="718" spans="2:2">
      <c r="B718" s="11"/>
    </row>
    <row r="719" spans="2:2">
      <c r="B719" s="11"/>
    </row>
    <row r="720" spans="2:2">
      <c r="B720" s="11"/>
    </row>
    <row r="721" spans="2:2">
      <c r="B721" s="11"/>
    </row>
    <row r="722" spans="2:2">
      <c r="B722" s="11"/>
    </row>
    <row r="723" spans="2:2">
      <c r="B723" s="11"/>
    </row>
    <row r="724" spans="2:2">
      <c r="B724" s="11"/>
    </row>
    <row r="725" spans="2:2">
      <c r="B725" s="11"/>
    </row>
    <row r="726" spans="2:2">
      <c r="B726" s="11"/>
    </row>
    <row r="727" spans="2:2">
      <c r="B727" s="11"/>
    </row>
    <row r="728" spans="2:2">
      <c r="B728" s="11"/>
    </row>
    <row r="729" spans="2:2">
      <c r="B729" s="11"/>
    </row>
    <row r="730" spans="2:2">
      <c r="B730" s="11"/>
    </row>
    <row r="731" spans="2:2">
      <c r="B731" s="11"/>
    </row>
    <row r="732" spans="2:2">
      <c r="B732" s="11"/>
    </row>
    <row r="733" spans="2:2">
      <c r="B733" s="11"/>
    </row>
    <row r="734" spans="2:2">
      <c r="B734" s="11"/>
    </row>
    <row r="735" spans="2:2">
      <c r="B735" s="11"/>
    </row>
    <row r="736" spans="2:2">
      <c r="B736" s="11"/>
    </row>
    <row r="737" spans="2:2">
      <c r="B737" s="11"/>
    </row>
    <row r="738" spans="2:2">
      <c r="B738" s="11"/>
    </row>
    <row r="739" spans="2:2">
      <c r="B739" s="11"/>
    </row>
    <row r="740" spans="2:2">
      <c r="B740" s="11"/>
    </row>
    <row r="741" spans="2:2">
      <c r="B741" s="11"/>
    </row>
    <row r="742" spans="2:2">
      <c r="B742" s="11"/>
    </row>
    <row r="743" spans="2:2">
      <c r="B743" s="11"/>
    </row>
    <row r="744" spans="2:2">
      <c r="B744" s="11"/>
    </row>
    <row r="745" spans="2:2">
      <c r="B745" s="11"/>
    </row>
    <row r="746" spans="2:2">
      <c r="B746" s="11"/>
    </row>
    <row r="747" spans="2:2">
      <c r="B747" s="11"/>
    </row>
    <row r="748" spans="2:2">
      <c r="B748" s="11"/>
    </row>
    <row r="749" spans="2:2">
      <c r="B749" s="11"/>
    </row>
    <row r="750" spans="2:2">
      <c r="B750" s="11"/>
    </row>
    <row r="751" spans="2:2">
      <c r="B751" s="11"/>
    </row>
    <row r="752" spans="2:2">
      <c r="B752" s="11"/>
    </row>
    <row r="753" spans="2:2">
      <c r="B753" s="11"/>
    </row>
    <row r="754" spans="2:2">
      <c r="B754" s="11"/>
    </row>
    <row r="755" spans="2:2">
      <c r="B755" s="11"/>
    </row>
    <row r="756" spans="2:2">
      <c r="B756" s="11"/>
    </row>
    <row r="757" spans="2:2">
      <c r="B757" s="11"/>
    </row>
    <row r="758" spans="2:2">
      <c r="B758" s="11"/>
    </row>
    <row r="759" spans="2:2">
      <c r="B759" s="11"/>
    </row>
    <row r="760" spans="2:2">
      <c r="B760" s="11"/>
    </row>
    <row r="761" spans="2:2">
      <c r="B761" s="11"/>
    </row>
    <row r="762" spans="2:2">
      <c r="B762" s="11"/>
    </row>
    <row r="763" spans="2:2">
      <c r="B763" s="11"/>
    </row>
    <row r="764" spans="2:2">
      <c r="B764" s="11"/>
    </row>
    <row r="765" spans="2:2">
      <c r="B765" s="11"/>
    </row>
    <row r="766" spans="2:2">
      <c r="B766" s="11"/>
    </row>
    <row r="767" spans="2:2">
      <c r="B767" s="11"/>
    </row>
    <row r="768" spans="2:2">
      <c r="B768" s="11"/>
    </row>
    <row r="769" spans="2:2">
      <c r="B769" s="11"/>
    </row>
    <row r="770" spans="2:2">
      <c r="B770" s="11"/>
    </row>
    <row r="771" spans="2:2">
      <c r="B771" s="11"/>
    </row>
    <row r="772" spans="2:2">
      <c r="B772" s="11"/>
    </row>
    <row r="773" spans="2:2">
      <c r="B773" s="11"/>
    </row>
    <row r="774" spans="2:2">
      <c r="B774" s="11"/>
    </row>
    <row r="775" spans="2:2">
      <c r="B775" s="11"/>
    </row>
    <row r="776" spans="2:2">
      <c r="B776" s="11"/>
    </row>
    <row r="777" spans="2:2">
      <c r="B777" s="11"/>
    </row>
    <row r="778" spans="2:2">
      <c r="B778" s="11"/>
    </row>
    <row r="779" spans="2:2">
      <c r="B779" s="11"/>
    </row>
    <row r="780" spans="2:2">
      <c r="B780" s="11"/>
    </row>
    <row r="781" spans="2:2">
      <c r="B781" s="11"/>
    </row>
    <row r="782" spans="2:2">
      <c r="B782" s="11"/>
    </row>
    <row r="783" spans="2:2">
      <c r="B783" s="11"/>
    </row>
    <row r="784" spans="2:2">
      <c r="B784" s="11"/>
    </row>
    <row r="785" spans="2:2">
      <c r="B785" s="11"/>
    </row>
    <row r="786" spans="2:2">
      <c r="B786" s="11"/>
    </row>
    <row r="787" spans="2:2">
      <c r="B787" s="11"/>
    </row>
    <row r="788" spans="2:2">
      <c r="B788" s="11"/>
    </row>
    <row r="789" spans="2:2">
      <c r="B789" s="11"/>
    </row>
    <row r="790" spans="2:2">
      <c r="B790" s="11"/>
    </row>
    <row r="791" spans="2:2">
      <c r="B791" s="11"/>
    </row>
    <row r="792" spans="2:2">
      <c r="B792" s="11"/>
    </row>
    <row r="793" spans="2:2">
      <c r="B793" s="11"/>
    </row>
    <row r="794" spans="2:2">
      <c r="B794" s="11"/>
    </row>
    <row r="795" spans="2:2">
      <c r="B795" s="11"/>
    </row>
    <row r="796" spans="2:2">
      <c r="B796" s="11"/>
    </row>
    <row r="797" spans="2:2">
      <c r="B797" s="11"/>
    </row>
    <row r="798" spans="2:2">
      <c r="B798" s="11"/>
    </row>
    <row r="799" spans="2:2">
      <c r="B799" s="11"/>
    </row>
    <row r="800" spans="2:2">
      <c r="B800" s="11"/>
    </row>
    <row r="801" spans="2:2">
      <c r="B801" s="11"/>
    </row>
    <row r="802" spans="2:2">
      <c r="B802" s="11"/>
    </row>
    <row r="803" spans="2:2">
      <c r="B803" s="11"/>
    </row>
    <row r="804" spans="2:2">
      <c r="B804" s="11"/>
    </row>
    <row r="805" spans="2:2">
      <c r="B805" s="11"/>
    </row>
    <row r="806" spans="2:2">
      <c r="B806" s="11"/>
    </row>
    <row r="807" spans="2:2">
      <c r="B807" s="11"/>
    </row>
    <row r="808" spans="2:2">
      <c r="B808" s="11"/>
    </row>
    <row r="809" spans="2:2">
      <c r="B809" s="11"/>
    </row>
    <row r="810" spans="2:2">
      <c r="B810" s="11"/>
    </row>
    <row r="811" spans="2:2">
      <c r="B811" s="11"/>
    </row>
    <row r="812" spans="2:2">
      <c r="B812" s="11"/>
    </row>
    <row r="813" spans="2:2">
      <c r="B813" s="11"/>
    </row>
    <row r="814" spans="2:2">
      <c r="B814" s="11"/>
    </row>
    <row r="815" spans="2:2">
      <c r="B815" s="11"/>
    </row>
    <row r="816" spans="2:2">
      <c r="B816" s="11"/>
    </row>
    <row r="817" spans="2:2">
      <c r="B817" s="11"/>
    </row>
    <row r="818" spans="2:2">
      <c r="B818" s="11"/>
    </row>
    <row r="819" spans="2:2">
      <c r="B819" s="11"/>
    </row>
    <row r="820" spans="2:2">
      <c r="B820" s="11"/>
    </row>
    <row r="821" spans="2:2">
      <c r="B821" s="11"/>
    </row>
    <row r="822" spans="2:2">
      <c r="B822" s="11"/>
    </row>
    <row r="823" spans="2:2">
      <c r="B823" s="11"/>
    </row>
    <row r="824" spans="2:2">
      <c r="B824" s="11"/>
    </row>
    <row r="825" spans="2:2">
      <c r="B825" s="11"/>
    </row>
    <row r="826" spans="2:2">
      <c r="B826" s="11"/>
    </row>
    <row r="827" spans="2:2">
      <c r="B827" s="11"/>
    </row>
    <row r="828" spans="2:2">
      <c r="B828" s="11"/>
    </row>
    <row r="829" spans="2:2">
      <c r="B829" s="11"/>
    </row>
    <row r="830" spans="2:2">
      <c r="B830" s="11"/>
    </row>
    <row r="831" spans="2:2">
      <c r="B831" s="11"/>
    </row>
    <row r="832" spans="2:2">
      <c r="B832" s="11"/>
    </row>
    <row r="833" spans="2:2">
      <c r="B833" s="11"/>
    </row>
    <row r="834" spans="2:2">
      <c r="B834" s="11"/>
    </row>
    <row r="835" spans="2:2">
      <c r="B835" s="11"/>
    </row>
    <row r="836" spans="2:2">
      <c r="B836" s="11"/>
    </row>
    <row r="837" spans="2:2">
      <c r="B837" s="11"/>
    </row>
    <row r="838" spans="2:2">
      <c r="B838" s="11"/>
    </row>
    <row r="839" spans="2:2">
      <c r="B839" s="11"/>
    </row>
    <row r="840" spans="2:2">
      <c r="B840" s="11"/>
    </row>
    <row r="841" spans="2:2">
      <c r="B841" s="11"/>
    </row>
    <row r="842" spans="2:2">
      <c r="B842" s="11"/>
    </row>
    <row r="843" spans="2:2">
      <c r="B843" s="11"/>
    </row>
    <row r="844" spans="2:2">
      <c r="B844" s="11"/>
    </row>
    <row r="845" spans="2:2">
      <c r="B845" s="11"/>
    </row>
    <row r="846" spans="2:2">
      <c r="B846" s="11"/>
    </row>
    <row r="847" spans="2:2">
      <c r="B847" s="11"/>
    </row>
    <row r="848" spans="2:2">
      <c r="B848" s="11"/>
    </row>
    <row r="849" spans="2:2">
      <c r="B849" s="11"/>
    </row>
    <row r="850" spans="2:2">
      <c r="B850" s="11"/>
    </row>
    <row r="851" spans="2:2">
      <c r="B851" s="11"/>
    </row>
    <row r="852" spans="2:2">
      <c r="B852" s="11"/>
    </row>
    <row r="853" spans="2:2">
      <c r="B853" s="11"/>
    </row>
    <row r="854" spans="2:2">
      <c r="B854" s="11"/>
    </row>
    <row r="855" spans="2:2">
      <c r="B855" s="11"/>
    </row>
    <row r="856" spans="2:2">
      <c r="B856" s="11"/>
    </row>
    <row r="857" spans="2:2">
      <c r="B857" s="11"/>
    </row>
    <row r="858" spans="2:2">
      <c r="B858" s="11"/>
    </row>
    <row r="859" spans="2:2">
      <c r="B859" s="11"/>
    </row>
    <row r="860" spans="2:2">
      <c r="B860" s="11"/>
    </row>
    <row r="861" spans="2:2">
      <c r="B861" s="11"/>
    </row>
    <row r="862" spans="2:2">
      <c r="B862" s="11"/>
    </row>
    <row r="863" spans="2:2">
      <c r="B863" s="11"/>
    </row>
    <row r="864" spans="2:2">
      <c r="B864" s="11"/>
    </row>
    <row r="865" spans="2:2">
      <c r="B865" s="11"/>
    </row>
    <row r="866" spans="2:2">
      <c r="B866" s="11"/>
    </row>
    <row r="867" spans="2:2">
      <c r="B867" s="11"/>
    </row>
    <row r="868" spans="2:2">
      <c r="B868" s="11"/>
    </row>
    <row r="869" spans="2:2">
      <c r="B869" s="11"/>
    </row>
    <row r="870" spans="2:2">
      <c r="B870" s="11"/>
    </row>
    <row r="871" spans="2:2">
      <c r="B871" s="11"/>
    </row>
    <row r="872" spans="2:2">
      <c r="B872" s="11"/>
    </row>
    <row r="873" spans="2:2">
      <c r="B873" s="11"/>
    </row>
    <row r="874" spans="2:2">
      <c r="B874" s="11"/>
    </row>
    <row r="875" spans="2:2">
      <c r="B875" s="11"/>
    </row>
    <row r="876" spans="2:2">
      <c r="B876" s="11"/>
    </row>
    <row r="877" spans="2:2">
      <c r="B877" s="11"/>
    </row>
    <row r="878" spans="2:2">
      <c r="B878" s="11"/>
    </row>
    <row r="879" spans="2:2">
      <c r="B879" s="11"/>
    </row>
    <row r="880" spans="2:2">
      <c r="B880" s="11"/>
    </row>
    <row r="881" spans="2:2">
      <c r="B881" s="11"/>
    </row>
    <row r="882" spans="2:2">
      <c r="B882" s="11"/>
    </row>
    <row r="883" spans="2:2">
      <c r="B883" s="11"/>
    </row>
    <row r="884" spans="2:2">
      <c r="B884" s="11"/>
    </row>
    <row r="885" spans="2:2">
      <c r="B885" s="11"/>
    </row>
    <row r="886" spans="2:2">
      <c r="B886" s="11"/>
    </row>
    <row r="887" spans="2:2">
      <c r="B887" s="11"/>
    </row>
    <row r="888" spans="2:2">
      <c r="B888" s="11"/>
    </row>
    <row r="889" spans="2:2">
      <c r="B889" s="11"/>
    </row>
    <row r="890" spans="2:2">
      <c r="B890" s="11"/>
    </row>
    <row r="891" spans="2:2">
      <c r="B891" s="11"/>
    </row>
    <row r="892" spans="2:2">
      <c r="B892" s="11"/>
    </row>
    <row r="893" spans="2:2">
      <c r="B893" s="11"/>
    </row>
    <row r="894" spans="2:2">
      <c r="B894" s="11"/>
    </row>
    <row r="895" spans="2:2">
      <c r="B895" s="11"/>
    </row>
    <row r="896" spans="2:2">
      <c r="B896" s="11"/>
    </row>
    <row r="897" spans="2:2">
      <c r="B897" s="11"/>
    </row>
    <row r="898" spans="2:2">
      <c r="B898" s="11"/>
    </row>
    <row r="899" spans="2:2">
      <c r="B899" s="11"/>
    </row>
    <row r="900" spans="2:2">
      <c r="B900" s="11"/>
    </row>
    <row r="901" spans="2:2">
      <c r="B901" s="11"/>
    </row>
    <row r="902" spans="2:2">
      <c r="B902" s="11"/>
    </row>
    <row r="903" spans="2:2">
      <c r="B903" s="11"/>
    </row>
    <row r="904" spans="2:2">
      <c r="B904" s="11"/>
    </row>
    <row r="905" spans="2:2">
      <c r="B905" s="11"/>
    </row>
    <row r="906" spans="2:2">
      <c r="B906" s="11"/>
    </row>
    <row r="907" spans="2:2">
      <c r="B907" s="11"/>
    </row>
    <row r="908" spans="2:2">
      <c r="B908" s="11"/>
    </row>
    <row r="909" spans="2:2">
      <c r="B909" s="11"/>
    </row>
    <row r="910" spans="2:2">
      <c r="B910" s="11"/>
    </row>
    <row r="911" spans="2:2">
      <c r="B911" s="11"/>
    </row>
    <row r="912" spans="2:2">
      <c r="B912" s="11"/>
    </row>
    <row r="913" spans="2:2">
      <c r="B913" s="11"/>
    </row>
    <row r="914" spans="2:2">
      <c r="B914" s="11"/>
    </row>
    <row r="915" spans="2:2">
      <c r="B915" s="11"/>
    </row>
    <row r="916" spans="2:2">
      <c r="B916" s="11"/>
    </row>
    <row r="917" spans="2:2">
      <c r="B917" s="11"/>
    </row>
    <row r="918" spans="2:2">
      <c r="B918" s="11"/>
    </row>
    <row r="919" spans="2:2">
      <c r="B919" s="11"/>
    </row>
    <row r="920" spans="2:2">
      <c r="B920" s="11"/>
    </row>
    <row r="921" spans="2:2">
      <c r="B921" s="11"/>
    </row>
    <row r="922" spans="2:2">
      <c r="B922" s="11"/>
    </row>
    <row r="923" spans="2:2">
      <c r="B923" s="11"/>
    </row>
    <row r="924" spans="2:2">
      <c r="B924" s="11"/>
    </row>
    <row r="925" spans="2:2">
      <c r="B925" s="11"/>
    </row>
    <row r="926" spans="2:2">
      <c r="B926" s="11"/>
    </row>
    <row r="927" spans="2:2">
      <c r="B927" s="11"/>
    </row>
    <row r="928" spans="2:2">
      <c r="B928" s="11"/>
    </row>
    <row r="929" spans="2:2">
      <c r="B929" s="11"/>
    </row>
    <row r="930" spans="2:2">
      <c r="B930" s="11"/>
    </row>
    <row r="931" spans="2:2">
      <c r="B931" s="11"/>
    </row>
    <row r="932" spans="2:2">
      <c r="B932" s="11"/>
    </row>
    <row r="933" spans="2:2">
      <c r="B933" s="11"/>
    </row>
    <row r="934" spans="2:2">
      <c r="B934" s="11"/>
    </row>
    <row r="935" spans="2:2">
      <c r="B935" s="11"/>
    </row>
    <row r="936" spans="2:2">
      <c r="B936" s="11"/>
    </row>
    <row r="937" spans="2:2">
      <c r="B937" s="11"/>
    </row>
    <row r="938" spans="2:2">
      <c r="B938" s="11"/>
    </row>
    <row r="939" spans="2:2">
      <c r="B939" s="11"/>
    </row>
    <row r="940" spans="2:2">
      <c r="B940" s="11"/>
    </row>
    <row r="941" spans="2:2">
      <c r="B941" s="11"/>
    </row>
    <row r="942" spans="2:2">
      <c r="B942" s="11"/>
    </row>
    <row r="943" spans="2:2">
      <c r="B943" s="11"/>
    </row>
    <row r="944" spans="2:2">
      <c r="B944" s="11"/>
    </row>
    <row r="945" spans="2:2">
      <c r="B945" s="11"/>
    </row>
    <row r="946" spans="2:2">
      <c r="B946" s="11"/>
    </row>
    <row r="947" spans="2:2">
      <c r="B947" s="11"/>
    </row>
    <row r="948" spans="2:2">
      <c r="B948" s="11"/>
    </row>
    <row r="949" spans="2:2">
      <c r="B949" s="11"/>
    </row>
  </sheetData>
  <sortState ref="L46:T60">
    <sortCondition ref="T46:T60"/>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6"/>
  <sheetViews>
    <sheetView tabSelected="1" workbookViewId="0">
      <selection activeCell="I2" sqref="I2"/>
    </sheetView>
  </sheetViews>
  <sheetFormatPr defaultRowHeight="14" customHeight="1"/>
  <cols>
    <col min="2" max="2" width="61.90625" customWidth="1"/>
    <col min="10" max="10" width="14.453125" customWidth="1"/>
    <col min="12" max="12" width="8.7265625" customWidth="1"/>
  </cols>
  <sheetData>
    <row r="1" spans="1:20" ht="14" customHeight="1">
      <c r="B1" s="12"/>
      <c r="C1" s="17" t="s">
        <v>42</v>
      </c>
      <c r="D1" s="17" t="s">
        <v>41</v>
      </c>
      <c r="E1" s="17" t="s">
        <v>40</v>
      </c>
      <c r="F1" s="17" t="s">
        <v>39</v>
      </c>
      <c r="G1" s="17" t="s">
        <v>38</v>
      </c>
      <c r="H1" s="17" t="s">
        <v>67</v>
      </c>
      <c r="I1" s="15" t="s">
        <v>61</v>
      </c>
      <c r="J1" s="15" t="s">
        <v>117</v>
      </c>
      <c r="L1" s="22"/>
      <c r="M1" s="22"/>
      <c r="N1" s="22"/>
      <c r="O1" s="22"/>
      <c r="P1" s="22"/>
      <c r="Q1" s="22"/>
      <c r="R1" s="23"/>
      <c r="S1" s="23"/>
      <c r="T1" s="23"/>
    </row>
    <row r="2" spans="1:20" ht="14" customHeight="1">
      <c r="A2">
        <v>22</v>
      </c>
      <c r="B2" s="13" t="s">
        <v>104</v>
      </c>
      <c r="C2" s="1">
        <v>1</v>
      </c>
      <c r="D2" s="1">
        <v>7</v>
      </c>
      <c r="E2" s="1">
        <v>4</v>
      </c>
      <c r="F2" s="1">
        <v>4</v>
      </c>
      <c r="G2" s="1">
        <v>2</v>
      </c>
      <c r="H2" s="1">
        <v>3</v>
      </c>
      <c r="I2">
        <f t="shared" ref="I2:I16" si="0">E2+C2+D2</f>
        <v>12</v>
      </c>
      <c r="J2">
        <f t="shared" ref="J2:J16" si="1">D2+C2</f>
        <v>8</v>
      </c>
      <c r="L2" s="1"/>
      <c r="M2" s="11"/>
      <c r="N2" s="11"/>
      <c r="O2" s="11"/>
      <c r="P2" s="11"/>
      <c r="Q2" s="11"/>
      <c r="T2" s="23"/>
    </row>
    <row r="3" spans="1:20" ht="14" customHeight="1">
      <c r="A3">
        <v>15</v>
      </c>
      <c r="B3" s="13" t="s">
        <v>102</v>
      </c>
      <c r="C3" s="1">
        <v>2</v>
      </c>
      <c r="D3" s="1">
        <v>5</v>
      </c>
      <c r="E3" s="1">
        <v>3</v>
      </c>
      <c r="F3" s="1">
        <v>4</v>
      </c>
      <c r="G3" s="1">
        <v>4</v>
      </c>
      <c r="H3" s="1">
        <v>3</v>
      </c>
      <c r="I3">
        <f t="shared" si="0"/>
        <v>10</v>
      </c>
      <c r="J3">
        <f t="shared" si="1"/>
        <v>7</v>
      </c>
      <c r="L3" s="1"/>
      <c r="M3" s="1"/>
      <c r="N3" s="1"/>
      <c r="O3" s="1"/>
      <c r="P3" s="1"/>
      <c r="Q3" s="1"/>
      <c r="T3" s="23"/>
    </row>
    <row r="4" spans="1:20" ht="14" customHeight="1">
      <c r="A4">
        <v>21</v>
      </c>
      <c r="B4" s="13" t="s">
        <v>105</v>
      </c>
      <c r="C4" s="1">
        <v>2</v>
      </c>
      <c r="D4" s="1">
        <v>5</v>
      </c>
      <c r="E4" s="1">
        <v>4</v>
      </c>
      <c r="F4" s="1">
        <v>3</v>
      </c>
      <c r="G4" s="1">
        <v>2</v>
      </c>
      <c r="H4" s="1">
        <v>5</v>
      </c>
      <c r="I4">
        <f t="shared" si="0"/>
        <v>11</v>
      </c>
      <c r="J4">
        <f t="shared" si="1"/>
        <v>7</v>
      </c>
      <c r="L4" s="1"/>
      <c r="M4" s="1"/>
      <c r="N4" s="1"/>
      <c r="O4" s="1"/>
      <c r="P4" s="1"/>
      <c r="Q4" s="1"/>
      <c r="T4" s="23"/>
    </row>
    <row r="5" spans="1:20" ht="14" customHeight="1">
      <c r="A5">
        <v>20</v>
      </c>
      <c r="B5" s="13" t="s">
        <v>103</v>
      </c>
      <c r="C5" s="1">
        <v>1</v>
      </c>
      <c r="D5" s="1">
        <v>6</v>
      </c>
      <c r="E5" s="1">
        <v>2</v>
      </c>
      <c r="F5" s="1">
        <v>2</v>
      </c>
      <c r="G5" s="1">
        <v>8</v>
      </c>
      <c r="H5" s="1">
        <v>2</v>
      </c>
      <c r="I5">
        <f t="shared" si="0"/>
        <v>9</v>
      </c>
      <c r="J5">
        <f t="shared" si="1"/>
        <v>7</v>
      </c>
      <c r="L5" s="1"/>
      <c r="M5" s="1"/>
      <c r="N5" s="1"/>
      <c r="O5" s="1"/>
      <c r="P5" s="1"/>
      <c r="Q5" s="1"/>
      <c r="T5" s="23"/>
    </row>
    <row r="6" spans="1:20" ht="14" customHeight="1">
      <c r="A6">
        <v>17</v>
      </c>
      <c r="B6" s="13" t="s">
        <v>107</v>
      </c>
      <c r="C6" s="1">
        <v>0</v>
      </c>
      <c r="D6" s="1">
        <v>7</v>
      </c>
      <c r="E6" s="1">
        <v>4</v>
      </c>
      <c r="F6" s="1">
        <v>7</v>
      </c>
      <c r="G6" s="1">
        <v>2</v>
      </c>
      <c r="H6" s="1">
        <v>1</v>
      </c>
      <c r="I6">
        <f t="shared" si="0"/>
        <v>11</v>
      </c>
      <c r="J6">
        <f t="shared" si="1"/>
        <v>7</v>
      </c>
      <c r="L6" s="1"/>
      <c r="M6" s="1"/>
      <c r="N6" s="1"/>
      <c r="O6" s="1"/>
      <c r="P6" s="1"/>
      <c r="Q6" s="1"/>
      <c r="T6" s="23"/>
    </row>
    <row r="7" spans="1:20" ht="14" customHeight="1">
      <c r="A7">
        <v>9</v>
      </c>
      <c r="B7" s="13" t="s">
        <v>106</v>
      </c>
      <c r="C7" s="1">
        <v>1</v>
      </c>
      <c r="D7" s="1">
        <v>5</v>
      </c>
      <c r="E7" s="1">
        <v>4</v>
      </c>
      <c r="F7" s="1">
        <v>2</v>
      </c>
      <c r="G7" s="1">
        <v>5</v>
      </c>
      <c r="H7" s="1">
        <v>4</v>
      </c>
      <c r="I7">
        <f t="shared" si="0"/>
        <v>10</v>
      </c>
      <c r="J7">
        <f t="shared" si="1"/>
        <v>6</v>
      </c>
      <c r="L7" s="1"/>
      <c r="M7" s="1"/>
      <c r="N7" s="1"/>
      <c r="O7" s="1"/>
      <c r="P7" s="1"/>
      <c r="Q7" s="1"/>
      <c r="T7" s="23"/>
    </row>
    <row r="8" spans="1:20" ht="14" customHeight="1">
      <c r="A8">
        <v>7</v>
      </c>
      <c r="B8" s="13" t="s">
        <v>111</v>
      </c>
      <c r="C8" s="1">
        <v>1</v>
      </c>
      <c r="D8" s="1">
        <v>4</v>
      </c>
      <c r="E8" s="1">
        <v>8</v>
      </c>
      <c r="F8" s="1">
        <v>3</v>
      </c>
      <c r="G8" s="1">
        <v>3</v>
      </c>
      <c r="H8" s="1">
        <v>2</v>
      </c>
      <c r="I8">
        <f t="shared" si="0"/>
        <v>13</v>
      </c>
      <c r="J8">
        <f t="shared" si="1"/>
        <v>5</v>
      </c>
      <c r="L8" s="1"/>
      <c r="M8" s="1"/>
      <c r="N8" s="1"/>
      <c r="O8" s="1"/>
      <c r="P8" s="1"/>
      <c r="Q8" s="1"/>
      <c r="T8" s="23"/>
    </row>
    <row r="9" spans="1:20" ht="14" customHeight="1">
      <c r="A9">
        <v>2</v>
      </c>
      <c r="B9" s="13" t="s">
        <v>110</v>
      </c>
      <c r="C9" s="1">
        <v>2</v>
      </c>
      <c r="D9" s="1">
        <v>2</v>
      </c>
      <c r="E9" s="1">
        <v>3</v>
      </c>
      <c r="F9" s="1">
        <v>2</v>
      </c>
      <c r="G9" s="1">
        <v>12</v>
      </c>
      <c r="H9" s="1">
        <v>0</v>
      </c>
      <c r="I9">
        <f t="shared" si="0"/>
        <v>7</v>
      </c>
      <c r="J9">
        <f t="shared" si="1"/>
        <v>4</v>
      </c>
      <c r="L9" s="1"/>
      <c r="M9" s="1"/>
      <c r="N9" s="1"/>
      <c r="O9" s="1"/>
      <c r="P9" s="1"/>
      <c r="Q9" s="1"/>
      <c r="T9" s="23"/>
    </row>
    <row r="10" spans="1:20" ht="14" customHeight="1">
      <c r="A10">
        <v>6</v>
      </c>
      <c r="B10" s="13" t="s">
        <v>108</v>
      </c>
      <c r="C10" s="1">
        <v>2</v>
      </c>
      <c r="D10" s="1">
        <v>2</v>
      </c>
      <c r="E10" s="1">
        <v>12</v>
      </c>
      <c r="F10" s="1">
        <v>1</v>
      </c>
      <c r="G10" s="1">
        <v>4</v>
      </c>
      <c r="H10" s="1">
        <v>0</v>
      </c>
      <c r="I10">
        <f t="shared" si="0"/>
        <v>16</v>
      </c>
      <c r="J10">
        <f t="shared" si="1"/>
        <v>4</v>
      </c>
      <c r="L10" s="1"/>
      <c r="M10" s="1"/>
      <c r="N10" s="1"/>
      <c r="O10" s="1"/>
      <c r="P10" s="1"/>
      <c r="Q10" s="1"/>
      <c r="T10" s="23"/>
    </row>
    <row r="11" spans="1:20" ht="14" customHeight="1">
      <c r="A11">
        <v>16</v>
      </c>
      <c r="B11" s="13" t="s">
        <v>109</v>
      </c>
      <c r="C11" s="1">
        <v>2</v>
      </c>
      <c r="D11" s="1">
        <v>2</v>
      </c>
      <c r="E11" s="1">
        <v>7</v>
      </c>
      <c r="F11" s="1">
        <v>5</v>
      </c>
      <c r="G11" s="1">
        <v>4</v>
      </c>
      <c r="H11" s="1">
        <v>1</v>
      </c>
      <c r="I11">
        <f t="shared" si="0"/>
        <v>11</v>
      </c>
      <c r="J11">
        <f t="shared" si="1"/>
        <v>4</v>
      </c>
      <c r="L11" s="1"/>
      <c r="M11" s="1"/>
      <c r="N11" s="1"/>
      <c r="O11" s="1"/>
      <c r="P11" s="1"/>
      <c r="Q11" s="1"/>
      <c r="T11" s="23"/>
    </row>
    <row r="12" spans="1:20" ht="14" customHeight="1">
      <c r="A12">
        <v>10</v>
      </c>
      <c r="B12" s="13" t="s">
        <v>112</v>
      </c>
      <c r="C12" s="1">
        <v>2</v>
      </c>
      <c r="D12" s="1">
        <v>0</v>
      </c>
      <c r="E12" s="1">
        <v>5</v>
      </c>
      <c r="F12" s="1">
        <v>0</v>
      </c>
      <c r="G12" s="1">
        <v>13</v>
      </c>
      <c r="H12" s="1">
        <v>1</v>
      </c>
      <c r="I12">
        <f t="shared" si="0"/>
        <v>7</v>
      </c>
      <c r="J12">
        <f t="shared" si="1"/>
        <v>2</v>
      </c>
      <c r="L12" s="1"/>
      <c r="M12" s="1"/>
      <c r="N12" s="1"/>
      <c r="O12" s="1"/>
      <c r="P12" s="1"/>
      <c r="Q12" s="1"/>
      <c r="T12" s="23"/>
    </row>
    <row r="13" spans="1:20" ht="14" customHeight="1">
      <c r="A13">
        <v>8</v>
      </c>
      <c r="B13" s="13" t="s">
        <v>114</v>
      </c>
      <c r="C13" s="1">
        <v>1</v>
      </c>
      <c r="D13" s="1">
        <v>1</v>
      </c>
      <c r="E13" s="1">
        <v>6</v>
      </c>
      <c r="F13" s="1">
        <v>2</v>
      </c>
      <c r="G13" s="1">
        <v>9</v>
      </c>
      <c r="H13" s="1">
        <v>2</v>
      </c>
      <c r="I13">
        <f t="shared" si="0"/>
        <v>8</v>
      </c>
      <c r="J13">
        <f t="shared" si="1"/>
        <v>2</v>
      </c>
      <c r="L13" s="1"/>
      <c r="M13" s="1"/>
      <c r="N13" s="1"/>
      <c r="O13" s="1"/>
      <c r="P13" s="1"/>
      <c r="Q13" s="1"/>
      <c r="T13" s="23"/>
    </row>
    <row r="14" spans="1:20" ht="14" customHeight="1">
      <c r="A14">
        <v>18</v>
      </c>
      <c r="B14" s="13" t="s">
        <v>113</v>
      </c>
      <c r="C14" s="1">
        <v>0</v>
      </c>
      <c r="D14" s="1">
        <v>2</v>
      </c>
      <c r="E14" s="1">
        <v>3</v>
      </c>
      <c r="F14" s="1">
        <v>7</v>
      </c>
      <c r="G14" s="1">
        <v>6</v>
      </c>
      <c r="H14" s="1">
        <v>3</v>
      </c>
      <c r="I14">
        <f t="shared" si="0"/>
        <v>5</v>
      </c>
      <c r="J14">
        <f t="shared" si="1"/>
        <v>2</v>
      </c>
      <c r="L14" s="1"/>
      <c r="M14" s="1"/>
      <c r="N14" s="1"/>
      <c r="O14" s="1"/>
      <c r="P14" s="1"/>
      <c r="Q14" s="1"/>
      <c r="T14" s="23"/>
    </row>
    <row r="15" spans="1:20" ht="14" customHeight="1">
      <c r="A15">
        <v>1</v>
      </c>
      <c r="B15" s="13" t="s">
        <v>115</v>
      </c>
      <c r="C15" s="11">
        <v>1</v>
      </c>
      <c r="D15" s="11">
        <v>0</v>
      </c>
      <c r="E15" s="11">
        <v>2</v>
      </c>
      <c r="F15" s="11">
        <v>6</v>
      </c>
      <c r="G15" s="11">
        <v>11</v>
      </c>
      <c r="H15" s="11">
        <v>1</v>
      </c>
      <c r="I15">
        <f t="shared" si="0"/>
        <v>3</v>
      </c>
      <c r="J15">
        <f t="shared" si="1"/>
        <v>1</v>
      </c>
      <c r="L15" s="11"/>
      <c r="M15" s="1"/>
      <c r="N15" s="1"/>
      <c r="O15" s="1"/>
      <c r="P15" s="1"/>
      <c r="Q15" s="1"/>
      <c r="T15" s="23"/>
    </row>
    <row r="16" spans="1:20" ht="14" customHeight="1">
      <c r="A16">
        <v>11</v>
      </c>
      <c r="B16" s="13" t="s">
        <v>116</v>
      </c>
      <c r="C16" s="1">
        <v>0</v>
      </c>
      <c r="D16" s="1">
        <v>1</v>
      </c>
      <c r="E16" s="1">
        <v>2</v>
      </c>
      <c r="F16" s="1">
        <v>3</v>
      </c>
      <c r="G16" s="1">
        <v>12</v>
      </c>
      <c r="H16" s="1">
        <v>3</v>
      </c>
      <c r="I16">
        <f t="shared" si="0"/>
        <v>3</v>
      </c>
      <c r="J16">
        <f t="shared" si="1"/>
        <v>1</v>
      </c>
      <c r="L16" s="1"/>
      <c r="M16" s="1"/>
      <c r="N16" s="1"/>
      <c r="O16" s="1"/>
      <c r="P16" s="1"/>
      <c r="Q16" s="1"/>
      <c r="T16" s="23"/>
    </row>
    <row r="23" spans="2:2" ht="14" customHeight="1">
      <c r="B23" s="14" t="s">
        <v>56</v>
      </c>
    </row>
    <row r="24" spans="2:2" ht="14" customHeight="1">
      <c r="B24" s="13" t="s">
        <v>53</v>
      </c>
    </row>
    <row r="25" spans="2:2" ht="14" customHeight="1">
      <c r="B25" s="13" t="s">
        <v>52</v>
      </c>
    </row>
    <row r="26" spans="2:2" ht="14" customHeight="1">
      <c r="B26" s="13" t="s">
        <v>51</v>
      </c>
    </row>
    <row r="27" spans="2:2" ht="14" customHeight="1">
      <c r="B27" s="13" t="s">
        <v>58</v>
      </c>
    </row>
    <row r="28" spans="2:2" ht="14" customHeight="1">
      <c r="B28" s="13" t="s">
        <v>49</v>
      </c>
    </row>
    <row r="29" spans="2:2" ht="14" customHeight="1">
      <c r="B29" s="13" t="s">
        <v>55</v>
      </c>
    </row>
    <row r="30" spans="2:2" ht="14" customHeight="1">
      <c r="B30" s="13" t="s">
        <v>48</v>
      </c>
    </row>
    <row r="31" spans="2:2" ht="14" customHeight="1">
      <c r="B31" s="13" t="s">
        <v>54</v>
      </c>
    </row>
    <row r="32" spans="2:2" ht="14" customHeight="1">
      <c r="B32" s="13" t="s">
        <v>59</v>
      </c>
    </row>
    <row r="40" spans="2:2" ht="14" customHeight="1">
      <c r="B40" s="14" t="s">
        <v>57</v>
      </c>
    </row>
    <row r="41" spans="2:2" ht="14" customHeight="1">
      <c r="B41" s="13" t="s">
        <v>45</v>
      </c>
    </row>
    <row r="42" spans="2:2" ht="14" customHeight="1">
      <c r="B42" s="13" t="s">
        <v>43</v>
      </c>
    </row>
    <row r="43" spans="2:2" ht="14" customHeight="1">
      <c r="B43" s="13" t="s">
        <v>47</v>
      </c>
    </row>
    <row r="44" spans="2:2" ht="14" customHeight="1">
      <c r="B44" s="13" t="s">
        <v>44</v>
      </c>
    </row>
    <row r="45" spans="2:2" ht="14" customHeight="1">
      <c r="B45" s="13" t="s">
        <v>46</v>
      </c>
    </row>
    <row r="46" spans="2:2" ht="14" customHeight="1">
      <c r="B46" s="13" t="s">
        <v>50</v>
      </c>
    </row>
    <row r="52" spans="5:11" ht="14" customHeight="1">
      <c r="E52" s="11"/>
      <c r="F52" s="11">
        <v>1</v>
      </c>
      <c r="G52" s="11">
        <v>0</v>
      </c>
      <c r="H52" s="11">
        <v>2</v>
      </c>
      <c r="I52" s="11">
        <v>6</v>
      </c>
      <c r="J52" s="11">
        <v>10</v>
      </c>
      <c r="K52" s="11">
        <v>1</v>
      </c>
    </row>
    <row r="53" spans="5:11" ht="14" customHeight="1">
      <c r="E53" s="1"/>
      <c r="F53" s="1">
        <v>2</v>
      </c>
      <c r="G53" s="1">
        <v>2</v>
      </c>
      <c r="H53" s="1">
        <v>3</v>
      </c>
      <c r="I53" s="1">
        <v>2</v>
      </c>
      <c r="J53" s="1">
        <v>11</v>
      </c>
      <c r="K53" s="1">
        <v>0</v>
      </c>
    </row>
    <row r="54" spans="5:11" ht="14" customHeight="1">
      <c r="E54" s="1"/>
      <c r="F54" s="1">
        <v>2</v>
      </c>
      <c r="G54" s="1">
        <v>2</v>
      </c>
      <c r="H54" s="1">
        <v>12</v>
      </c>
      <c r="I54" s="1">
        <v>1</v>
      </c>
      <c r="J54" s="1">
        <v>3</v>
      </c>
      <c r="K54" s="1">
        <v>0</v>
      </c>
    </row>
    <row r="55" spans="5:11" ht="14" customHeight="1">
      <c r="E55" s="1"/>
      <c r="F55" s="1">
        <v>1</v>
      </c>
      <c r="G55" s="1">
        <v>4</v>
      </c>
      <c r="H55" s="1">
        <v>7</v>
      </c>
      <c r="I55" s="1">
        <v>3</v>
      </c>
      <c r="J55" s="1">
        <v>3</v>
      </c>
      <c r="K55" s="1">
        <v>2</v>
      </c>
    </row>
    <row r="56" spans="5:11" ht="14" customHeight="1">
      <c r="E56" s="1"/>
      <c r="F56" s="1">
        <v>1</v>
      </c>
      <c r="G56" s="1">
        <v>1</v>
      </c>
      <c r="H56" s="1">
        <v>5</v>
      </c>
      <c r="I56" s="1">
        <v>2</v>
      </c>
      <c r="J56" s="1">
        <v>9</v>
      </c>
      <c r="K56" s="1">
        <v>2</v>
      </c>
    </row>
    <row r="57" spans="5:11" ht="14" customHeight="1">
      <c r="E57" s="1"/>
      <c r="F57" s="1">
        <v>1</v>
      </c>
      <c r="G57" s="1">
        <v>5</v>
      </c>
      <c r="H57" s="1">
        <v>4</v>
      </c>
      <c r="I57" s="1">
        <v>2</v>
      </c>
      <c r="J57" s="1">
        <v>5</v>
      </c>
      <c r="K57" s="1">
        <v>3</v>
      </c>
    </row>
    <row r="58" spans="5:11" ht="14" customHeight="1">
      <c r="E58" s="1"/>
      <c r="F58" s="1">
        <v>2</v>
      </c>
      <c r="G58" s="1">
        <v>0</v>
      </c>
      <c r="H58" s="1">
        <v>5</v>
      </c>
      <c r="I58" s="1">
        <v>0</v>
      </c>
      <c r="J58" s="1">
        <v>12</v>
      </c>
      <c r="K58" s="1">
        <v>1</v>
      </c>
    </row>
    <row r="59" spans="5:11" ht="14" customHeight="1">
      <c r="E59" s="1"/>
      <c r="F59" s="1">
        <v>0</v>
      </c>
      <c r="G59" s="1">
        <v>1</v>
      </c>
      <c r="H59" s="1">
        <v>2</v>
      </c>
      <c r="I59" s="1">
        <v>3</v>
      </c>
      <c r="J59" s="1">
        <v>11</v>
      </c>
      <c r="K59" s="1">
        <v>3</v>
      </c>
    </row>
    <row r="60" spans="5:11" ht="14" customHeight="1">
      <c r="E60" s="1"/>
      <c r="F60" s="1">
        <v>2</v>
      </c>
      <c r="G60" s="1">
        <v>5</v>
      </c>
      <c r="H60" s="1">
        <v>3</v>
      </c>
      <c r="I60" s="1">
        <v>4</v>
      </c>
      <c r="J60" s="1">
        <v>3</v>
      </c>
      <c r="K60" s="1">
        <v>3</v>
      </c>
    </row>
    <row r="61" spans="5:11" ht="14" customHeight="1">
      <c r="E61" s="1"/>
      <c r="F61" s="1">
        <v>2</v>
      </c>
      <c r="G61" s="1">
        <v>2</v>
      </c>
      <c r="H61" s="1">
        <v>7</v>
      </c>
      <c r="I61" s="1">
        <v>4</v>
      </c>
      <c r="J61" s="1">
        <v>4</v>
      </c>
      <c r="K61" s="1">
        <v>1</v>
      </c>
    </row>
    <row r="62" spans="5:11" ht="14" customHeight="1">
      <c r="E62" s="1"/>
      <c r="F62" s="1">
        <v>0</v>
      </c>
      <c r="G62" s="1">
        <v>6</v>
      </c>
      <c r="H62" s="1">
        <v>4</v>
      </c>
      <c r="I62" s="1">
        <v>7</v>
      </c>
      <c r="J62" s="1">
        <v>2</v>
      </c>
      <c r="K62" s="1">
        <v>1</v>
      </c>
    </row>
    <row r="63" spans="5:11" ht="14" customHeight="1">
      <c r="E63" s="1"/>
      <c r="F63" s="1">
        <v>0</v>
      </c>
      <c r="G63" s="1">
        <v>2</v>
      </c>
      <c r="H63" s="1">
        <v>3</v>
      </c>
      <c r="I63" s="1">
        <v>7</v>
      </c>
      <c r="J63" s="1">
        <v>5</v>
      </c>
      <c r="K63" s="1">
        <v>3</v>
      </c>
    </row>
    <row r="64" spans="5:11" ht="14" customHeight="1">
      <c r="E64" s="1"/>
      <c r="F64" s="1">
        <v>1</v>
      </c>
      <c r="G64" s="1">
        <v>6</v>
      </c>
      <c r="H64" s="1">
        <v>2</v>
      </c>
      <c r="I64" s="1">
        <v>2</v>
      </c>
      <c r="J64" s="1">
        <v>7</v>
      </c>
      <c r="K64" s="1">
        <v>2</v>
      </c>
    </row>
    <row r="65" spans="5:11" ht="14" customHeight="1">
      <c r="E65" s="1"/>
      <c r="F65" s="1">
        <v>2</v>
      </c>
      <c r="G65" s="1">
        <v>5</v>
      </c>
      <c r="H65" s="1">
        <v>4</v>
      </c>
      <c r="I65" s="1">
        <v>3</v>
      </c>
      <c r="J65" s="1">
        <v>2</v>
      </c>
      <c r="K65" s="1">
        <v>4</v>
      </c>
    </row>
    <row r="66" spans="5:11" ht="14" customHeight="1">
      <c r="E66" s="1"/>
      <c r="F66" s="1">
        <v>1</v>
      </c>
      <c r="G66" s="1">
        <v>7</v>
      </c>
      <c r="H66" s="1">
        <v>3</v>
      </c>
      <c r="I66" s="1">
        <v>4</v>
      </c>
      <c r="J66" s="1">
        <v>2</v>
      </c>
      <c r="K66" s="1">
        <v>3</v>
      </c>
    </row>
  </sheetData>
  <sortState ref="A2:J16">
    <sortCondition descending="1" ref="J2:J16"/>
    <sortCondition descending="1" ref="C2:C16"/>
  </sortState>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Template/>
  <TotalTime>3344</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Survey-data</vt:lpstr>
      <vt:lpstr>Survey-chart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swirsz</dc:creator>
  <dc:description/>
  <cp:lastModifiedBy>SW</cp:lastModifiedBy>
  <cp:revision>81</cp:revision>
  <cp:lastPrinted>2025-12-30T02:24:47Z</cp:lastPrinted>
  <dcterms:created xsi:type="dcterms:W3CDTF">2022-01-03T05:22:12Z</dcterms:created>
  <dcterms:modified xsi:type="dcterms:W3CDTF">2026-02-25T01:19:04Z</dcterms:modified>
  <dc:language>en-US</dc:language>
</cp:coreProperties>
</file>